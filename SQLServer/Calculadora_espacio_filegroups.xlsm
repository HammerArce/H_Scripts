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verisgroup-my.sharepoint.com/personal/hsantama_emeal_nttdata_com/Documents/Documentos/Scripts/"/>
    </mc:Choice>
  </mc:AlternateContent>
  <xr:revisionPtr revIDLastSave="3846" documentId="8_{09ECAF5D-A3E1-4759-8F84-7F4BC083C677}" xr6:coauthVersionLast="47" xr6:coauthVersionMax="47" xr10:uidLastSave="{7446D13D-48F2-48F6-A247-C608B2A060F9}"/>
  <bookViews>
    <workbookView xWindow="-110" yWindow="-110" windowWidth="19420" windowHeight="10300" activeTab="1" xr2:uid="{9C85BC3F-CCFD-42CB-8261-DDB04230883A}"/>
  </bookViews>
  <sheets>
    <sheet name="Usable en disco" sheetId="5" r:id="rId1"/>
    <sheet name="Lista de bases" sheetId="4" r:id="rId2"/>
    <sheet name="Solicitud de disco" sheetId="3" r:id="rId3"/>
    <sheet name="Nuevo % libre (old)" sheetId="2" r:id="rId4"/>
    <sheet name="Usable en disco (old)" sheetId="1" r:id="rId5"/>
  </sheets>
  <definedNames>
    <definedName name="_xlnm._FilterDatabase" localSheetId="1" hidden="1">'Lista de bases'!$A$1:$Z$19</definedName>
    <definedName name="_xleta.AND" hidden="1" xlm="1">#NAME?</definedName>
    <definedName name="_xleta.CLEA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5" l="1"/>
  <c r="H21" i="5"/>
  <c r="J21" i="5"/>
  <c r="K21" i="5" s="1"/>
  <c r="G22" i="5"/>
  <c r="H22" i="5"/>
  <c r="J22" i="5"/>
  <c r="K22" i="5" s="1"/>
  <c r="G23" i="5"/>
  <c r="H23" i="5"/>
  <c r="J23" i="5"/>
  <c r="K23" i="5" s="1"/>
  <c r="G24" i="5"/>
  <c r="H24" i="5"/>
  <c r="J24" i="5"/>
  <c r="K24" i="5" s="1"/>
  <c r="G25" i="5"/>
  <c r="H25" i="5"/>
  <c r="J25" i="5"/>
  <c r="K25" i="5" s="1"/>
  <c r="G26" i="5"/>
  <c r="H26" i="5"/>
  <c r="J26" i="5"/>
  <c r="K26" i="5"/>
  <c r="G27" i="5"/>
  <c r="H27" i="5"/>
  <c r="J27" i="5"/>
  <c r="K27" i="5" s="1"/>
  <c r="P2" i="4"/>
  <c r="P3" i="4"/>
  <c r="O2" i="4"/>
  <c r="Q2" i="4" s="1"/>
  <c r="O3" i="4"/>
  <c r="N2" i="4"/>
  <c r="I2" i="4"/>
  <c r="K2" i="4" s="1"/>
  <c r="I3" i="4"/>
  <c r="K3" i="4" s="1"/>
  <c r="H2" i="4"/>
  <c r="J2" i="4" s="1"/>
  <c r="H3" i="4"/>
  <c r="N3" i="4"/>
  <c r="J3" i="4"/>
  <c r="J3" i="5"/>
  <c r="K3" i="5" s="1"/>
  <c r="J5" i="5"/>
  <c r="K5" i="5" s="1"/>
  <c r="J6" i="5"/>
  <c r="K6" i="5" s="1"/>
  <c r="J7" i="5"/>
  <c r="K7" i="5" s="1"/>
  <c r="J8" i="5"/>
  <c r="K8" i="5" s="1"/>
  <c r="J9" i="5"/>
  <c r="K9" i="5" s="1"/>
  <c r="J10" i="5"/>
  <c r="K10" i="5" s="1"/>
  <c r="J11" i="5"/>
  <c r="K11" i="5" s="1"/>
  <c r="J12" i="5"/>
  <c r="K12" i="5" s="1"/>
  <c r="J13" i="5"/>
  <c r="K13" i="5" s="1"/>
  <c r="J14" i="5"/>
  <c r="K14" i="5" s="1"/>
  <c r="J15" i="5"/>
  <c r="K15" i="5" s="1"/>
  <c r="J16" i="5"/>
  <c r="K16" i="5" s="1"/>
  <c r="J17" i="5"/>
  <c r="K17" i="5" s="1"/>
  <c r="J18" i="5"/>
  <c r="K18" i="5" s="1"/>
  <c r="J19" i="5"/>
  <c r="K19" i="5" s="1"/>
  <c r="J20" i="5"/>
  <c r="K20" i="5" s="1"/>
  <c r="J2" i="5"/>
  <c r="K2" i="5" s="1"/>
  <c r="J4" i="5"/>
  <c r="K4" i="5" s="1"/>
  <c r="K15" i="4"/>
  <c r="K16" i="4"/>
  <c r="K17" i="4"/>
  <c r="K18" i="4"/>
  <c r="K19" i="4"/>
  <c r="J15" i="4"/>
  <c r="J16" i="4"/>
  <c r="J17" i="4"/>
  <c r="J18" i="4"/>
  <c r="J19" i="4"/>
  <c r="N6" i="4"/>
  <c r="N4" i="4"/>
  <c r="D7" i="3"/>
  <c r="D6" i="3"/>
  <c r="D5" i="3"/>
  <c r="D4" i="3"/>
  <c r="D3" i="3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5" i="4"/>
  <c r="H3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" i="5"/>
  <c r="G3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" i="5"/>
  <c r="E5" i="1"/>
  <c r="E2" i="1"/>
  <c r="Q15" i="4"/>
  <c r="Q16" i="4"/>
  <c r="Q17" i="4"/>
  <c r="Q18" i="4"/>
  <c r="Q19" i="4"/>
  <c r="P4" i="4"/>
  <c r="P5" i="4"/>
  <c r="P6" i="4"/>
  <c r="P7" i="4"/>
  <c r="P8" i="4"/>
  <c r="P9" i="4"/>
  <c r="P10" i="4"/>
  <c r="P11" i="4"/>
  <c r="P12" i="4"/>
  <c r="P13" i="4"/>
  <c r="P14" i="4"/>
  <c r="O4" i="4"/>
  <c r="O5" i="4"/>
  <c r="O6" i="4"/>
  <c r="O7" i="4"/>
  <c r="O8" i="4"/>
  <c r="O9" i="4"/>
  <c r="O10" i="4"/>
  <c r="O11" i="4"/>
  <c r="O12" i="4"/>
  <c r="O13" i="4"/>
  <c r="O14" i="4"/>
  <c r="A5" i="2"/>
  <c r="B9" i="2"/>
  <c r="I2" i="2"/>
  <c r="I4" i="4"/>
  <c r="K4" i="4" s="1"/>
  <c r="I5" i="4"/>
  <c r="K5" i="4" s="1"/>
  <c r="I6" i="4"/>
  <c r="K6" i="4" s="1"/>
  <c r="I7" i="4"/>
  <c r="K7" i="4" s="1"/>
  <c r="I8" i="4"/>
  <c r="K8" i="4" s="1"/>
  <c r="I9" i="4"/>
  <c r="K9" i="4" s="1"/>
  <c r="I10" i="4"/>
  <c r="K10" i="4" s="1"/>
  <c r="I11" i="4"/>
  <c r="K11" i="4" s="1"/>
  <c r="I12" i="4"/>
  <c r="K12" i="4" s="1"/>
  <c r="I13" i="4"/>
  <c r="K13" i="4" s="1"/>
  <c r="I14" i="4"/>
  <c r="K14" i="4" s="1"/>
  <c r="H4" i="4"/>
  <c r="J4" i="4" s="1"/>
  <c r="H5" i="4"/>
  <c r="J5" i="4" s="1"/>
  <c r="H6" i="4"/>
  <c r="J6" i="4" s="1"/>
  <c r="H7" i="4"/>
  <c r="J7" i="4" s="1"/>
  <c r="H8" i="4"/>
  <c r="J8" i="4" s="1"/>
  <c r="H9" i="4"/>
  <c r="J9" i="4" s="1"/>
  <c r="H10" i="4"/>
  <c r="J10" i="4" s="1"/>
  <c r="H11" i="4"/>
  <c r="J11" i="4" s="1"/>
  <c r="H12" i="4"/>
  <c r="J12" i="4" s="1"/>
  <c r="H13" i="4"/>
  <c r="J13" i="4" s="1"/>
  <c r="H14" i="4"/>
  <c r="J14" i="4" s="1"/>
  <c r="E2" i="2"/>
  <c r="H2" i="2" s="1"/>
  <c r="C2" i="2"/>
  <c r="D16" i="3"/>
  <c r="F15" i="3"/>
  <c r="B16" i="3"/>
  <c r="F2" i="2"/>
  <c r="B5" i="1"/>
  <c r="B2" i="1"/>
  <c r="Q3" i="4" l="1"/>
  <c r="H4" i="5"/>
  <c r="G4" i="5"/>
  <c r="Q12" i="4"/>
  <c r="Q13" i="4"/>
  <c r="Q10" i="4"/>
  <c r="Q14" i="4"/>
  <c r="Q11" i="4"/>
  <c r="Q9" i="4"/>
  <c r="Q5" i="4"/>
  <c r="Q7" i="4"/>
  <c r="Q4" i="4"/>
  <c r="Q8" i="4"/>
  <c r="Q6" i="4"/>
  <c r="D9" i="3"/>
  <c r="D19" i="3" s="1"/>
  <c r="F16" i="3"/>
  <c r="B5" i="2"/>
  <c r="C5" i="2" s="1"/>
  <c r="F19" i="3" l="1"/>
  <c r="D20" i="3"/>
  <c r="F20" i="3" s="1"/>
  <c r="D21" i="3" l="1"/>
  <c r="F21" i="3" s="1"/>
  <c r="D22" i="3" l="1"/>
  <c r="F22" i="3" s="1"/>
  <c r="D23" i="3" l="1"/>
  <c r="D24" i="3" s="1"/>
  <c r="F24" i="3" s="1"/>
  <c r="F23" i="3" l="1"/>
</calcChain>
</file>

<file path=xl/sharedStrings.xml><?xml version="1.0" encoding="utf-8"?>
<sst xmlns="http://schemas.openxmlformats.org/spreadsheetml/2006/main" count="78" uniqueCount="73">
  <si>
    <t>Total</t>
  </si>
  <si>
    <t>Free</t>
  </si>
  <si>
    <t>Free %</t>
  </si>
  <si>
    <t>Deficit 6%</t>
  </si>
  <si>
    <t>Deficit 10%</t>
  </si>
  <si>
    <t>New Free %</t>
  </si>
  <si>
    <t>File size</t>
  </si>
  <si>
    <t>New File size</t>
  </si>
  <si>
    <t>Size total filegroup</t>
  </si>
  <si>
    <t>Free total file group</t>
  </si>
  <si>
    <t>New total filegroup</t>
  </si>
  <si>
    <t>New free total file group</t>
  </si>
  <si>
    <t>6% total filegroup</t>
  </si>
  <si>
    <t>10% total filegorup</t>
  </si>
  <si>
    <t>probable extra size</t>
  </si>
  <si>
    <t>Usable no menor a 10%</t>
  </si>
  <si>
    <t>Usable no menor a 5%</t>
  </si>
  <si>
    <t>10% del disco</t>
  </si>
  <si>
    <t>5% del disco</t>
  </si>
  <si>
    <t>Crecimiento de la instancia</t>
  </si>
  <si>
    <t>Inicio de mes MB</t>
  </si>
  <si>
    <t>Final de mes MB</t>
  </si>
  <si>
    <t>Diferencia mensual MB</t>
  </si>
  <si>
    <t>Promedio de crecimiento mensual</t>
  </si>
  <si>
    <t>5 meses atrás</t>
  </si>
  <si>
    <t>4 meses atrás</t>
  </si>
  <si>
    <t>3 meses atrás</t>
  </si>
  <si>
    <t>2 meses atrás</t>
  </si>
  <si>
    <t>1 mes atrás</t>
  </si>
  <si>
    <t>Peticion de espacio</t>
  </si>
  <si>
    <t>Nuevo espacio en MB</t>
  </si>
  <si>
    <t>Simulación</t>
  </si>
  <si>
    <t>1 mes futuro</t>
  </si>
  <si>
    <t>2 meses futuro</t>
  </si>
  <si>
    <t>3 meses futuro</t>
  </si>
  <si>
    <t>4 meses futuro</t>
  </si>
  <si>
    <t>5 meses futuro</t>
  </si>
  <si>
    <t>6 meses futuro</t>
  </si>
  <si>
    <t>porcentaje libre actual</t>
  </si>
  <si>
    <t>Porcentaje libre simulado</t>
  </si>
  <si>
    <t>Espacio adicional simulado</t>
  </si>
  <si>
    <t>Porcentaje libre</t>
  </si>
  <si>
    <t>Espacio libre actual</t>
  </si>
  <si>
    <t>Espacio libre simulado</t>
  </si>
  <si>
    <t>Espacio Actual del filegroup</t>
  </si>
  <si>
    <t>INSTANCIA</t>
  </si>
  <si>
    <t>BASE DE DATOS</t>
  </si>
  <si>
    <t>FILEGROUP</t>
  </si>
  <si>
    <t>TOTAL MB</t>
  </si>
  <si>
    <t>USADO MB</t>
  </si>
  <si>
    <t>LIBRE MB</t>
  </si>
  <si>
    <t>PORCENTAJE LIBRE</t>
  </si>
  <si>
    <t>6% filegroup</t>
  </si>
  <si>
    <t>10% filegroup</t>
  </si>
  <si>
    <t>6% necesario MB</t>
  </si>
  <si>
    <t>10% necesario MB</t>
  </si>
  <si>
    <t>Espacio Extra probable</t>
  </si>
  <si>
    <t>Peso de data file</t>
  </si>
  <si>
    <t>nuevo peso del datafile</t>
  </si>
  <si>
    <t>nuevo % libre del filegroup</t>
  </si>
  <si>
    <t>nuevo total del filegroup</t>
  </si>
  <si>
    <t>nuevo total libre del fg</t>
  </si>
  <si>
    <t>Server</t>
  </si>
  <si>
    <t>drive</t>
  </si>
  <si>
    <t>freeSpace</t>
  </si>
  <si>
    <t>totalSpace</t>
  </si>
  <si>
    <t>percentFree</t>
  </si>
  <si>
    <t>isMountPoint</t>
  </si>
  <si>
    <t>Usable no menor a 5% (MB)</t>
  </si>
  <si>
    <t>usable no menor a 10% (MB)</t>
  </si>
  <si>
    <t>Espacio Adicional</t>
  </si>
  <si>
    <t>Nuevo % libre</t>
  </si>
  <si>
    <t>%de ocupacion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</si>
</sst>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rgb="FF000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40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0" fillId="2" borderId="15" xfId="0" applyFill="1" applyBorder="1"/>
    <xf numFmtId="0" fontId="0" fillId="0" borderId="10" xfId="0" applyBorder="1"/>
    <xf numFmtId="0" fontId="0" fillId="0" borderId="0" xfId="0" applyAlignment="1">
      <alignment horizontal="center"/>
    </xf>
    <xf numFmtId="0" fontId="4" fillId="4" borderId="17" xfId="0" applyFont="1" applyFill="1" applyBorder="1" applyAlignment="1">
      <alignment horizontal="center" vertical="center" wrapText="1"/>
    </xf>
    <xf numFmtId="0" fontId="0" fillId="5" borderId="0" xfId="0" applyFill="1"/>
    <xf numFmtId="0" fontId="0" fillId="6" borderId="0" xfId="0" applyFill="1"/>
    <xf numFmtId="0" fontId="2" fillId="3" borderId="1" xfId="1" applyBorder="1"/>
    <xf numFmtId="0" fontId="2" fillId="3" borderId="1" xfId="1" applyBorder="1" applyAlignment="1">
      <alignment horizontal="center"/>
    </xf>
    <xf numFmtId="0" fontId="2" fillId="3" borderId="10" xfId="1" applyBorder="1" applyAlignment="1">
      <alignment horizontal="center"/>
    </xf>
    <xf numFmtId="0" fontId="0" fillId="0" borderId="0" xfId="0" applyFill="1"/>
    <xf numFmtId="0" fontId="0" fillId="0" borderId="1" xfId="0" applyFill="1" applyBorder="1"/>
    <xf numFmtId="0" fontId="3" fillId="0" borderId="16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0" xfId="0" applyFill="1" applyBorder="1" applyAlignment="1">
      <alignment horizontal="center"/>
    </xf>
    <xf numFmtId="0" fontId="4" fillId="4" borderId="18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vertical="center" wrapText="1"/>
    </xf>
    <xf numFmtId="0" fontId="0" fillId="0" borderId="14" xfId="0" applyFill="1" applyBorder="1"/>
    <xf numFmtId="0" fontId="3" fillId="0" borderId="1" xfId="0" applyFont="1" applyFill="1" applyBorder="1" applyAlignment="1">
      <alignment vertical="center" wrapText="1"/>
    </xf>
  </cellXfs>
  <cellStyles count="2">
    <cellStyle name="Énfasis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317500</xdr:colOff>
      <xdr:row>12</xdr:row>
      <xdr:rowOff>57150</xdr:rowOff>
    </xdr:from>
    <xdr:to>
      <xdr:col>12</xdr:col>
      <xdr:colOff>508000</xdr:colOff>
      <xdr:row>17</xdr:row>
      <xdr:rowOff>63500</xdr:rowOff>
    </xdr:to>
    <xdr:sp macro="[0]!Limpiar_discos_nue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D346369-BA33-EF8A-D42D-642C2169EA76}"/>
            </a:ext>
          </a:extLst>
        </xdr:cNvPr>
        <xdr:cNvSpPr/>
      </xdr:nvSpPr>
      <xdr:spPr>
        <a:xfrm>
          <a:off x="10991850" y="2266950"/>
          <a:ext cx="1714500" cy="9271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>
              <a:solidFill>
                <a:srgbClr val="FFFF00"/>
              </a:solidFill>
              <a:latin typeface="Bahnschrift SemiBold Condensed" panose="020B0502040204020203" pitchFamily="34" charset="0"/>
            </a:rPr>
            <a:t>Limpiar</a:t>
          </a:r>
          <a:endParaRPr lang="es-419" sz="1100">
            <a:solidFill>
              <a:srgbClr val="FFFF00"/>
            </a:solidFill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44450</xdr:colOff>
      <xdr:row>12</xdr:row>
      <xdr:rowOff>50800</xdr:rowOff>
    </xdr:from>
    <xdr:to>
      <xdr:col>18</xdr:col>
      <xdr:colOff>133350</xdr:colOff>
      <xdr:row>16</xdr:row>
      <xdr:rowOff>76200</xdr:rowOff>
    </xdr:to>
    <xdr:sp macro="[0]!Limpiar_Lis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EC17B3F-3F01-250A-D6B5-A811B96F1469}"/>
            </a:ext>
          </a:extLst>
        </xdr:cNvPr>
        <xdr:cNvSpPr/>
      </xdr:nvSpPr>
      <xdr:spPr>
        <a:xfrm>
          <a:off x="10801350" y="2000250"/>
          <a:ext cx="850900" cy="762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>
              <a:solidFill>
                <a:srgbClr val="FFFF00"/>
              </a:solidFill>
              <a:latin typeface="Bahnschrift SemiBold Condensed" panose="020B0502040204020203" pitchFamily="34" charset="0"/>
            </a:rPr>
            <a:t>Limpiar</a:t>
          </a:r>
          <a:endParaRPr lang="es-419" sz="1100">
            <a:solidFill>
              <a:srgbClr val="FFFF00"/>
            </a:solidFill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2</xdr:row>
      <xdr:rowOff>82550</xdr:rowOff>
    </xdr:from>
    <xdr:to>
      <xdr:col>8</xdr:col>
      <xdr:colOff>431800</xdr:colOff>
      <xdr:row>8</xdr:row>
      <xdr:rowOff>63500</xdr:rowOff>
    </xdr:to>
    <xdr:sp macro="[0]!clearcells_disk_sol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6E7CD7-3D50-04C8-169C-926E1C7E8B76}"/>
            </a:ext>
          </a:extLst>
        </xdr:cNvPr>
        <xdr:cNvSpPr/>
      </xdr:nvSpPr>
      <xdr:spPr>
        <a:xfrm>
          <a:off x="8235950" y="450850"/>
          <a:ext cx="1822450" cy="1085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>
              <a:solidFill>
                <a:srgbClr val="FFFF00"/>
              </a:solidFill>
            </a:rPr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88900</xdr:colOff>
      <xdr:row>5</xdr:row>
      <xdr:rowOff>44450</xdr:rowOff>
    </xdr:from>
    <xdr:to>
      <xdr:col>8</xdr:col>
      <xdr:colOff>666750</xdr:colOff>
      <xdr:row>9</xdr:row>
      <xdr:rowOff>31750</xdr:rowOff>
    </xdr:to>
    <xdr:sp macro="[0]!Clearcellslog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EECE7-C069-FEA9-BF5D-9A81BAB6EDAD}"/>
            </a:ext>
          </a:extLst>
        </xdr:cNvPr>
        <xdr:cNvSpPr/>
      </xdr:nvSpPr>
      <xdr:spPr>
        <a:xfrm>
          <a:off x="6908800" y="965200"/>
          <a:ext cx="1358900" cy="723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CO" sz="1100" b="1" cap="none" spc="0">
              <a:ln w="0">
                <a:solidFill>
                  <a:srgbClr val="FFFF00"/>
                </a:solidFill>
              </a:ln>
              <a:solidFill>
                <a:srgbClr val="FFFF00"/>
              </a:solidFill>
              <a:effectLst/>
            </a:rPr>
            <a:t>Clear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3</xdr:row>
      <xdr:rowOff>165100</xdr:rowOff>
    </xdr:from>
    <xdr:to>
      <xdr:col>7</xdr:col>
      <xdr:colOff>622300</xdr:colOff>
      <xdr:row>7</xdr:row>
      <xdr:rowOff>152400</xdr:rowOff>
    </xdr:to>
    <xdr:sp macro="[0]!cleardisk.Clearcell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923F25D-6D5D-4E89-9B49-3D0C707818C0}"/>
            </a:ext>
          </a:extLst>
        </xdr:cNvPr>
        <xdr:cNvSpPr/>
      </xdr:nvSpPr>
      <xdr:spPr>
        <a:xfrm>
          <a:off x="5270500" y="717550"/>
          <a:ext cx="1358900" cy="723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CO" sz="1100" b="1" cap="none" spc="0">
              <a:ln w="0">
                <a:solidFill>
                  <a:srgbClr val="FFFF00"/>
                </a:solidFill>
              </a:ln>
              <a:solidFill>
                <a:srgbClr val="FFFF00"/>
              </a:solidFill>
              <a:effectLst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E6F9C-BB6D-4C27-8F8B-A04C9D3F3ACC}">
  <sheetPr codeName="Hoja5"/>
  <dimension ref="A1:Z100"/>
  <sheetViews>
    <sheetView workbookViewId="0">
      <selection activeCell="A17" sqref="A17:XFD17"/>
    </sheetView>
  </sheetViews>
  <sheetFormatPr baseColWidth="10" defaultRowHeight="14.5" x14ac:dyDescent="0.35"/>
  <cols>
    <col min="1" max="1" width="18.7265625" customWidth="1"/>
    <col min="2" max="2" width="13.90625" style="22" customWidth="1"/>
    <col min="3" max="3" width="9" bestFit="1" customWidth="1"/>
    <col min="4" max="4" width="9.54296875" bestFit="1" customWidth="1"/>
    <col min="5" max="5" width="10.7265625" bestFit="1" customWidth="1"/>
    <col min="6" max="6" width="11.453125" bestFit="1" customWidth="1"/>
    <col min="7" max="7" width="23" style="22" bestFit="1" customWidth="1"/>
    <col min="8" max="8" width="23.7265625" style="22" bestFit="1" customWidth="1"/>
    <col min="10" max="10" width="11.7265625" bestFit="1" customWidth="1"/>
    <col min="11" max="11" width="13.1796875" bestFit="1" customWidth="1"/>
  </cols>
  <sheetData>
    <row r="1" spans="1:26" x14ac:dyDescent="0.35">
      <c r="A1" s="26" t="s">
        <v>62</v>
      </c>
      <c r="B1" s="27" t="s">
        <v>63</v>
      </c>
      <c r="C1" s="26" t="s">
        <v>64</v>
      </c>
      <c r="D1" s="26" t="s">
        <v>65</v>
      </c>
      <c r="E1" s="26" t="s">
        <v>66</v>
      </c>
      <c r="F1" s="26" t="s">
        <v>67</v>
      </c>
      <c r="G1" s="27" t="s">
        <v>68</v>
      </c>
      <c r="H1" s="28" t="s">
        <v>69</v>
      </c>
      <c r="I1" s="26" t="s">
        <v>70</v>
      </c>
      <c r="J1" s="26" t="s">
        <v>71</v>
      </c>
      <c r="K1" s="26" t="s">
        <v>72</v>
      </c>
    </row>
    <row r="2" spans="1:26" x14ac:dyDescent="0.35">
      <c r="A2" s="30"/>
      <c r="B2" s="33"/>
      <c r="C2" s="30"/>
      <c r="D2" s="30"/>
      <c r="E2" s="30"/>
      <c r="F2" s="30"/>
      <c r="G2" s="33">
        <f>ROUNDUP(C2-ROUNDUP((D2*0.05),0),0)</f>
        <v>0</v>
      </c>
      <c r="H2" s="35">
        <f>ROUNDUP(C2-ROUNDUP((D2*0.1),0),0)</f>
        <v>0</v>
      </c>
      <c r="I2" s="30"/>
      <c r="J2" s="30" t="e">
        <f t="shared" ref="J2:J20" si="0">ROUNDDOWN((((C2+I2)*100)/(D2+I2)),2)</f>
        <v>#DIV/0!</v>
      </c>
      <c r="K2" s="30" t="e">
        <f>100-J2</f>
        <v>#DIV/0!</v>
      </c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s="25" customFormat="1" x14ac:dyDescent="0.35">
      <c r="A3" s="30"/>
      <c r="B3" s="33"/>
      <c r="C3" s="30"/>
      <c r="D3" s="30"/>
      <c r="E3" s="30"/>
      <c r="F3" s="30"/>
      <c r="G3" s="33">
        <f t="shared" ref="G3:G20" si="1">ROUNDUP(C3-ROUNDUP((D3*0.05),0),0)</f>
        <v>0</v>
      </c>
      <c r="H3" s="35">
        <f>ROUNDUP(C3-ROUNDUP((D3*0.1),0),0)</f>
        <v>0</v>
      </c>
      <c r="I3" s="30"/>
      <c r="J3" s="30" t="e">
        <f t="shared" si="0"/>
        <v>#DIV/0!</v>
      </c>
      <c r="K3" s="30" t="e">
        <f t="shared" ref="K3:K20" si="2">100-J3</f>
        <v>#DIV/0!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s="25" customFormat="1" x14ac:dyDescent="0.35">
      <c r="A4" s="30"/>
      <c r="B4" s="33"/>
      <c r="C4" s="30"/>
      <c r="D4" s="30"/>
      <c r="E4" s="30"/>
      <c r="F4" s="30"/>
      <c r="G4" s="33">
        <f t="shared" si="1"/>
        <v>0</v>
      </c>
      <c r="H4" s="35">
        <f t="shared" ref="H4:H20" si="3">ROUNDUP(C4-ROUNDUP((D4*0.1),0),0)</f>
        <v>0</v>
      </c>
      <c r="I4" s="30"/>
      <c r="J4" s="30" t="e">
        <f t="shared" si="0"/>
        <v>#DIV/0!</v>
      </c>
      <c r="K4" s="30" t="e">
        <f t="shared" si="2"/>
        <v>#DIV/0!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s="25" customFormat="1" x14ac:dyDescent="0.35">
      <c r="A5" s="30"/>
      <c r="B5" s="33"/>
      <c r="C5" s="30"/>
      <c r="D5" s="30"/>
      <c r="E5" s="30"/>
      <c r="F5" s="30"/>
      <c r="G5" s="33">
        <f t="shared" si="1"/>
        <v>0</v>
      </c>
      <c r="H5" s="35">
        <f t="shared" si="3"/>
        <v>0</v>
      </c>
      <c r="I5" s="30"/>
      <c r="J5" s="30" t="e">
        <f t="shared" si="0"/>
        <v>#DIV/0!</v>
      </c>
      <c r="K5" s="30" t="e">
        <f t="shared" si="2"/>
        <v>#DIV/0!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s="25" customFormat="1" x14ac:dyDescent="0.35">
      <c r="A6" s="30"/>
      <c r="B6" s="33"/>
      <c r="C6" s="30"/>
      <c r="D6" s="30"/>
      <c r="E6" s="30"/>
      <c r="F6" s="30"/>
      <c r="G6" s="33">
        <f t="shared" si="1"/>
        <v>0</v>
      </c>
      <c r="H6" s="35">
        <f t="shared" si="3"/>
        <v>0</v>
      </c>
      <c r="I6" s="30"/>
      <c r="J6" s="30" t="e">
        <f t="shared" si="0"/>
        <v>#DIV/0!</v>
      </c>
      <c r="K6" s="30" t="e">
        <f t="shared" si="2"/>
        <v>#DIV/0!</v>
      </c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s="25" customFormat="1" x14ac:dyDescent="0.35">
      <c r="A7" s="30"/>
      <c r="B7" s="33"/>
      <c r="C7" s="30"/>
      <c r="D7" s="30"/>
      <c r="E7" s="30"/>
      <c r="F7" s="30"/>
      <c r="G7" s="33">
        <f t="shared" si="1"/>
        <v>0</v>
      </c>
      <c r="H7" s="35">
        <f t="shared" si="3"/>
        <v>0</v>
      </c>
      <c r="I7" s="30"/>
      <c r="J7" s="30" t="e">
        <f t="shared" si="0"/>
        <v>#DIV/0!</v>
      </c>
      <c r="K7" s="30" t="e">
        <f t="shared" si="2"/>
        <v>#DIV/0!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s="25" customFormat="1" x14ac:dyDescent="0.35">
      <c r="A8" s="30"/>
      <c r="B8" s="33"/>
      <c r="C8" s="30"/>
      <c r="D8" s="30"/>
      <c r="E8" s="30"/>
      <c r="F8" s="30"/>
      <c r="G8" s="33">
        <f t="shared" si="1"/>
        <v>0</v>
      </c>
      <c r="H8" s="35">
        <f t="shared" si="3"/>
        <v>0</v>
      </c>
      <c r="I8" s="30"/>
      <c r="J8" s="30" t="e">
        <f t="shared" si="0"/>
        <v>#DIV/0!</v>
      </c>
      <c r="K8" s="30" t="e">
        <f t="shared" si="2"/>
        <v>#DIV/0!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s="25" customFormat="1" x14ac:dyDescent="0.35">
      <c r="A9" s="30"/>
      <c r="B9" s="33"/>
      <c r="C9" s="30"/>
      <c r="D9" s="30"/>
      <c r="E9" s="30"/>
      <c r="F9" s="30"/>
      <c r="G9" s="33">
        <f t="shared" si="1"/>
        <v>0</v>
      </c>
      <c r="H9" s="35">
        <f t="shared" si="3"/>
        <v>0</v>
      </c>
      <c r="I9" s="30"/>
      <c r="J9" s="30" t="e">
        <f t="shared" si="0"/>
        <v>#DIV/0!</v>
      </c>
      <c r="K9" s="30" t="e">
        <f t="shared" si="2"/>
        <v>#DIV/0!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s="25" customFormat="1" x14ac:dyDescent="0.35">
      <c r="A10" s="30"/>
      <c r="B10" s="33"/>
      <c r="C10" s="30"/>
      <c r="D10" s="30"/>
      <c r="E10" s="30"/>
      <c r="F10" s="30"/>
      <c r="G10" s="33">
        <f t="shared" si="1"/>
        <v>0</v>
      </c>
      <c r="H10" s="35">
        <f t="shared" si="3"/>
        <v>0</v>
      </c>
      <c r="I10" s="30"/>
      <c r="J10" s="30" t="e">
        <f t="shared" si="0"/>
        <v>#DIV/0!</v>
      </c>
      <c r="K10" s="30" t="e">
        <f t="shared" si="2"/>
        <v>#DIV/0!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s="25" customFormat="1" x14ac:dyDescent="0.35">
      <c r="A11" s="30"/>
      <c r="B11" s="33"/>
      <c r="C11" s="30"/>
      <c r="D11" s="30"/>
      <c r="E11" s="30"/>
      <c r="F11" s="30"/>
      <c r="G11" s="33">
        <f t="shared" si="1"/>
        <v>0</v>
      </c>
      <c r="H11" s="35">
        <f t="shared" si="3"/>
        <v>0</v>
      </c>
      <c r="I11" s="30"/>
      <c r="J11" s="30" t="e">
        <f t="shared" si="0"/>
        <v>#DIV/0!</v>
      </c>
      <c r="K11" s="30" t="e">
        <f t="shared" si="2"/>
        <v>#DIV/0!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35">
      <c r="A12" s="30"/>
      <c r="B12" s="33"/>
      <c r="C12" s="30"/>
      <c r="D12" s="30"/>
      <c r="E12" s="30"/>
      <c r="F12" s="30"/>
      <c r="G12" s="33">
        <f t="shared" si="1"/>
        <v>0</v>
      </c>
      <c r="H12" s="35">
        <f t="shared" si="3"/>
        <v>0</v>
      </c>
      <c r="I12" s="30"/>
      <c r="J12" s="30" t="e">
        <f t="shared" si="0"/>
        <v>#DIV/0!</v>
      </c>
      <c r="K12" s="30" t="e">
        <f t="shared" si="2"/>
        <v>#DIV/0!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s="25" customFormat="1" x14ac:dyDescent="0.35">
      <c r="A13" s="30"/>
      <c r="B13" s="33"/>
      <c r="C13" s="30"/>
      <c r="D13" s="30"/>
      <c r="E13" s="30"/>
      <c r="F13" s="30"/>
      <c r="G13" s="33">
        <f t="shared" si="1"/>
        <v>0</v>
      </c>
      <c r="H13" s="35">
        <f t="shared" si="3"/>
        <v>0</v>
      </c>
      <c r="I13" s="30"/>
      <c r="J13" s="30" t="e">
        <f t="shared" si="0"/>
        <v>#DIV/0!</v>
      </c>
      <c r="K13" s="30" t="e">
        <f t="shared" si="2"/>
        <v>#DIV/0!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35">
      <c r="A14" s="30"/>
      <c r="B14" s="33"/>
      <c r="C14" s="30"/>
      <c r="D14" s="30"/>
      <c r="E14" s="30"/>
      <c r="F14" s="30"/>
      <c r="G14" s="33">
        <f t="shared" si="1"/>
        <v>0</v>
      </c>
      <c r="H14" s="35">
        <f t="shared" si="3"/>
        <v>0</v>
      </c>
      <c r="I14" s="30"/>
      <c r="J14" s="30" t="e">
        <f t="shared" si="0"/>
        <v>#DIV/0!</v>
      </c>
      <c r="K14" s="30" t="e">
        <f t="shared" si="2"/>
        <v>#DIV/0!</v>
      </c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35">
      <c r="A15" s="30"/>
      <c r="B15" s="33"/>
      <c r="C15" s="30"/>
      <c r="D15" s="30"/>
      <c r="E15" s="30"/>
      <c r="F15" s="30"/>
      <c r="G15" s="33">
        <f t="shared" si="1"/>
        <v>0</v>
      </c>
      <c r="H15" s="35">
        <f t="shared" si="3"/>
        <v>0</v>
      </c>
      <c r="I15" s="30"/>
      <c r="J15" s="30" t="e">
        <f t="shared" si="0"/>
        <v>#DIV/0!</v>
      </c>
      <c r="K15" s="30" t="e">
        <f t="shared" si="2"/>
        <v>#DIV/0!</v>
      </c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35">
      <c r="A16" s="30"/>
      <c r="B16" s="33"/>
      <c r="C16" s="30"/>
      <c r="D16" s="30"/>
      <c r="E16" s="30"/>
      <c r="F16" s="30"/>
      <c r="G16" s="33">
        <f t="shared" si="1"/>
        <v>0</v>
      </c>
      <c r="H16" s="35">
        <f t="shared" si="3"/>
        <v>0</v>
      </c>
      <c r="I16" s="30"/>
      <c r="J16" s="30" t="e">
        <f t="shared" si="0"/>
        <v>#DIV/0!</v>
      </c>
      <c r="K16" s="30" t="e">
        <f t="shared" si="2"/>
        <v>#DIV/0!</v>
      </c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s="25" customFormat="1" x14ac:dyDescent="0.35">
      <c r="A17" s="30"/>
      <c r="B17" s="33"/>
      <c r="C17" s="30"/>
      <c r="D17" s="30"/>
      <c r="E17" s="30"/>
      <c r="F17" s="30"/>
      <c r="G17" s="33">
        <f t="shared" si="1"/>
        <v>0</v>
      </c>
      <c r="H17" s="35">
        <f t="shared" si="3"/>
        <v>0</v>
      </c>
      <c r="I17" s="30"/>
      <c r="J17" s="30" t="e">
        <f t="shared" si="0"/>
        <v>#DIV/0!</v>
      </c>
      <c r="K17" s="30" t="e">
        <f t="shared" si="2"/>
        <v>#DIV/0!</v>
      </c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35">
      <c r="A18" s="30"/>
      <c r="B18" s="33"/>
      <c r="C18" s="30"/>
      <c r="D18" s="30"/>
      <c r="E18" s="30"/>
      <c r="F18" s="30"/>
      <c r="G18" s="33">
        <f t="shared" si="1"/>
        <v>0</v>
      </c>
      <c r="H18" s="35">
        <f t="shared" si="3"/>
        <v>0</v>
      </c>
      <c r="I18" s="30"/>
      <c r="J18" s="30" t="e">
        <f t="shared" si="0"/>
        <v>#DIV/0!</v>
      </c>
      <c r="K18" s="30" t="e">
        <f t="shared" si="2"/>
        <v>#DIV/0!</v>
      </c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35">
      <c r="A19" s="30"/>
      <c r="B19" s="33"/>
      <c r="C19" s="30"/>
      <c r="D19" s="30"/>
      <c r="E19" s="30"/>
      <c r="F19" s="30"/>
      <c r="G19" s="33">
        <f t="shared" si="1"/>
        <v>0</v>
      </c>
      <c r="H19" s="35">
        <f t="shared" si="3"/>
        <v>0</v>
      </c>
      <c r="I19" s="30"/>
      <c r="J19" s="30" t="e">
        <f t="shared" si="0"/>
        <v>#DIV/0!</v>
      </c>
      <c r="K19" s="30" t="e">
        <f t="shared" si="2"/>
        <v>#DIV/0!</v>
      </c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35">
      <c r="A20" s="30"/>
      <c r="B20" s="33"/>
      <c r="C20" s="30"/>
      <c r="D20" s="30"/>
      <c r="E20" s="30"/>
      <c r="F20" s="30"/>
      <c r="G20" s="33">
        <f t="shared" si="1"/>
        <v>0</v>
      </c>
      <c r="H20" s="35">
        <f t="shared" si="3"/>
        <v>0</v>
      </c>
      <c r="I20" s="30"/>
      <c r="J20" s="30" t="e">
        <f t="shared" si="0"/>
        <v>#DIV/0!</v>
      </c>
      <c r="K20" s="30" t="e">
        <f t="shared" si="2"/>
        <v>#DIV/0!</v>
      </c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35">
      <c r="A21" s="30"/>
      <c r="B21" s="33"/>
      <c r="C21" s="30"/>
      <c r="D21" s="30"/>
      <c r="E21" s="30"/>
      <c r="F21" s="30"/>
      <c r="G21" s="33">
        <f t="shared" ref="G21:G27" si="4">ROUNDUP(C21-ROUNDUP((D21*0.05),0),0)</f>
        <v>0</v>
      </c>
      <c r="H21" s="35">
        <f t="shared" ref="H21:H27" si="5">ROUNDUP(C21-ROUNDUP((D21*0.1),0),0)</f>
        <v>0</v>
      </c>
      <c r="I21" s="30"/>
      <c r="J21" s="30" t="e">
        <f t="shared" ref="J21:J27" si="6">ROUNDDOWN((((C21+I21)*100)/(D21+I21)),2)</f>
        <v>#DIV/0!</v>
      </c>
      <c r="K21" s="30" t="e">
        <f t="shared" ref="K21:K27" si="7">100-J21</f>
        <v>#DIV/0!</v>
      </c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35">
      <c r="A22" s="30"/>
      <c r="B22" s="33"/>
      <c r="C22" s="30"/>
      <c r="D22" s="30"/>
      <c r="E22" s="30"/>
      <c r="F22" s="30"/>
      <c r="G22" s="33">
        <f t="shared" si="4"/>
        <v>0</v>
      </c>
      <c r="H22" s="35">
        <f t="shared" si="5"/>
        <v>0</v>
      </c>
      <c r="I22" s="30"/>
      <c r="J22" s="30" t="e">
        <f t="shared" si="6"/>
        <v>#DIV/0!</v>
      </c>
      <c r="K22" s="30" t="e">
        <f t="shared" si="7"/>
        <v>#DIV/0!</v>
      </c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35">
      <c r="A23" s="30"/>
      <c r="B23" s="33"/>
      <c r="C23" s="30"/>
      <c r="D23" s="30"/>
      <c r="E23" s="30"/>
      <c r="F23" s="30"/>
      <c r="G23" s="33">
        <f t="shared" si="4"/>
        <v>0</v>
      </c>
      <c r="H23" s="35">
        <f t="shared" si="5"/>
        <v>0</v>
      </c>
      <c r="I23" s="30"/>
      <c r="J23" s="30" t="e">
        <f t="shared" si="6"/>
        <v>#DIV/0!</v>
      </c>
      <c r="K23" s="30" t="e">
        <f t="shared" si="7"/>
        <v>#DIV/0!</v>
      </c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35">
      <c r="A24" s="30"/>
      <c r="B24" s="33"/>
      <c r="C24" s="30"/>
      <c r="D24" s="30"/>
      <c r="E24" s="30"/>
      <c r="F24" s="30"/>
      <c r="G24" s="33">
        <f t="shared" si="4"/>
        <v>0</v>
      </c>
      <c r="H24" s="35">
        <f t="shared" si="5"/>
        <v>0</v>
      </c>
      <c r="I24" s="30"/>
      <c r="J24" s="30" t="e">
        <f t="shared" si="6"/>
        <v>#DIV/0!</v>
      </c>
      <c r="K24" s="30" t="e">
        <f t="shared" si="7"/>
        <v>#DIV/0!</v>
      </c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35">
      <c r="A25" s="30"/>
      <c r="B25" s="33"/>
      <c r="C25" s="30"/>
      <c r="D25" s="30"/>
      <c r="E25" s="30"/>
      <c r="F25" s="30"/>
      <c r="G25" s="33">
        <f t="shared" si="4"/>
        <v>0</v>
      </c>
      <c r="H25" s="35">
        <f t="shared" si="5"/>
        <v>0</v>
      </c>
      <c r="I25" s="30"/>
      <c r="J25" s="30" t="e">
        <f t="shared" si="6"/>
        <v>#DIV/0!</v>
      </c>
      <c r="K25" s="30" t="e">
        <f t="shared" si="7"/>
        <v>#DIV/0!</v>
      </c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35">
      <c r="A26" s="30"/>
      <c r="B26" s="33"/>
      <c r="C26" s="30"/>
      <c r="D26" s="30"/>
      <c r="E26" s="30"/>
      <c r="F26" s="30"/>
      <c r="G26" s="33">
        <f t="shared" si="4"/>
        <v>0</v>
      </c>
      <c r="H26" s="35">
        <f t="shared" si="5"/>
        <v>0</v>
      </c>
      <c r="I26" s="30"/>
      <c r="J26" s="30" t="e">
        <f t="shared" si="6"/>
        <v>#DIV/0!</v>
      </c>
      <c r="K26" s="30" t="e">
        <f t="shared" si="7"/>
        <v>#DIV/0!</v>
      </c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5">
      <c r="A27" s="30"/>
      <c r="B27" s="33"/>
      <c r="C27" s="30"/>
      <c r="D27" s="30"/>
      <c r="E27" s="30"/>
      <c r="F27" s="30"/>
      <c r="G27" s="33">
        <f t="shared" si="4"/>
        <v>0</v>
      </c>
      <c r="H27" s="35">
        <f t="shared" si="5"/>
        <v>0</v>
      </c>
      <c r="I27" s="30"/>
      <c r="J27" s="30" t="e">
        <f t="shared" si="6"/>
        <v>#DIV/0!</v>
      </c>
      <c r="K27" s="30" t="e">
        <f t="shared" si="7"/>
        <v>#DIV/0!</v>
      </c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35">
      <c r="A28" s="29"/>
      <c r="B28" s="34"/>
      <c r="C28" s="29"/>
      <c r="D28" s="29"/>
      <c r="E28" s="29"/>
      <c r="F28" s="29"/>
      <c r="G28" s="34"/>
      <c r="H28" s="34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35">
      <c r="A29" s="29"/>
      <c r="B29" s="34"/>
      <c r="C29" s="29"/>
      <c r="D29" s="29"/>
      <c r="E29" s="29"/>
      <c r="F29" s="29"/>
      <c r="G29" s="34"/>
      <c r="H29" s="34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35">
      <c r="A30" s="29"/>
      <c r="B30" s="34"/>
      <c r="C30" s="29"/>
      <c r="D30" s="29"/>
      <c r="E30" s="29"/>
      <c r="F30" s="29"/>
      <c r="G30" s="34"/>
      <c r="H30" s="34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35">
      <c r="A31" s="29"/>
      <c r="B31" s="34"/>
      <c r="C31" s="29"/>
      <c r="D31" s="29"/>
      <c r="E31" s="29"/>
      <c r="F31" s="29"/>
      <c r="G31" s="34"/>
      <c r="H31" s="34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35">
      <c r="A32" s="29"/>
      <c r="B32" s="34"/>
      <c r="C32" s="29"/>
      <c r="D32" s="29"/>
      <c r="E32" s="29"/>
      <c r="F32" s="29"/>
      <c r="G32" s="34"/>
      <c r="H32" s="34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35">
      <c r="A33" s="29"/>
      <c r="B33" s="34"/>
      <c r="C33" s="29"/>
      <c r="D33" s="29"/>
      <c r="E33" s="29"/>
      <c r="F33" s="29"/>
      <c r="G33" s="34"/>
      <c r="H33" s="34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35">
      <c r="A34" s="29"/>
      <c r="B34" s="34"/>
      <c r="C34" s="29"/>
      <c r="D34" s="29"/>
      <c r="E34" s="29"/>
      <c r="F34" s="29"/>
      <c r="G34" s="34"/>
      <c r="H34" s="34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35">
      <c r="A35" s="29"/>
      <c r="B35" s="34"/>
      <c r="C35" s="29"/>
      <c r="D35" s="29"/>
      <c r="E35" s="29"/>
      <c r="F35" s="29"/>
      <c r="G35" s="34"/>
      <c r="H35" s="34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35">
      <c r="A36" s="29"/>
      <c r="B36" s="34"/>
      <c r="C36" s="29"/>
      <c r="D36" s="29"/>
      <c r="E36" s="29"/>
      <c r="F36" s="29"/>
      <c r="G36" s="34"/>
      <c r="H36" s="34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35">
      <c r="A37" s="29"/>
      <c r="B37" s="34"/>
      <c r="C37" s="29"/>
      <c r="D37" s="29"/>
      <c r="E37" s="29"/>
      <c r="F37" s="29"/>
      <c r="G37" s="34"/>
      <c r="H37" s="34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35">
      <c r="A38" s="29"/>
      <c r="B38" s="34"/>
      <c r="C38" s="29"/>
      <c r="D38" s="29"/>
      <c r="E38" s="29"/>
      <c r="F38" s="29"/>
      <c r="G38" s="34"/>
      <c r="H38" s="34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35">
      <c r="A39" s="29"/>
      <c r="B39" s="34"/>
      <c r="C39" s="29"/>
      <c r="D39" s="29"/>
      <c r="E39" s="29"/>
      <c r="F39" s="29"/>
      <c r="G39" s="34"/>
      <c r="H39" s="34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35">
      <c r="A40" s="29"/>
      <c r="B40" s="34"/>
      <c r="C40" s="29"/>
      <c r="D40" s="29"/>
      <c r="E40" s="29"/>
      <c r="F40" s="29"/>
      <c r="G40" s="34"/>
      <c r="H40" s="34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35">
      <c r="A41" s="29"/>
      <c r="B41" s="34"/>
      <c r="C41" s="29"/>
      <c r="D41" s="29"/>
      <c r="E41" s="29"/>
      <c r="F41" s="29"/>
      <c r="G41" s="34"/>
      <c r="H41" s="34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35">
      <c r="A42" s="29"/>
      <c r="B42" s="34"/>
      <c r="C42" s="29"/>
      <c r="D42" s="29"/>
      <c r="E42" s="29"/>
      <c r="F42" s="29"/>
      <c r="G42" s="34"/>
      <c r="H42" s="34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35">
      <c r="A43" s="29"/>
      <c r="B43" s="34"/>
      <c r="C43" s="29"/>
      <c r="D43" s="29"/>
      <c r="E43" s="29"/>
      <c r="F43" s="29"/>
      <c r="G43" s="34"/>
      <c r="H43" s="34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35">
      <c r="A44" s="29"/>
      <c r="B44" s="34"/>
      <c r="C44" s="29"/>
      <c r="D44" s="29"/>
      <c r="E44" s="29"/>
      <c r="F44" s="29"/>
      <c r="G44" s="34"/>
      <c r="H44" s="34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35">
      <c r="A45" s="29"/>
      <c r="B45" s="34"/>
      <c r="C45" s="29"/>
      <c r="D45" s="29"/>
      <c r="E45" s="29"/>
      <c r="F45" s="29"/>
      <c r="G45" s="34"/>
      <c r="H45" s="34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35">
      <c r="A46" s="29"/>
      <c r="B46" s="34"/>
      <c r="C46" s="29"/>
      <c r="D46" s="29"/>
      <c r="E46" s="29"/>
      <c r="F46" s="29"/>
      <c r="G46" s="34"/>
      <c r="H46" s="34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35">
      <c r="A47" s="29"/>
      <c r="B47" s="34"/>
      <c r="C47" s="29"/>
      <c r="D47" s="29"/>
      <c r="E47" s="29"/>
      <c r="F47" s="29"/>
      <c r="G47" s="34"/>
      <c r="H47" s="34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35">
      <c r="A48" s="29"/>
      <c r="B48" s="34"/>
      <c r="C48" s="29"/>
      <c r="D48" s="29"/>
      <c r="E48" s="29"/>
      <c r="F48" s="29"/>
      <c r="G48" s="34"/>
      <c r="H48" s="34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35">
      <c r="A49" s="29"/>
      <c r="B49" s="34"/>
      <c r="C49" s="29"/>
      <c r="D49" s="29"/>
      <c r="E49" s="29"/>
      <c r="F49" s="29"/>
      <c r="G49" s="34"/>
      <c r="H49" s="34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35">
      <c r="A50" s="29"/>
      <c r="B50" s="34"/>
      <c r="C50" s="29"/>
      <c r="D50" s="29"/>
      <c r="E50" s="29"/>
      <c r="F50" s="29"/>
      <c r="G50" s="34"/>
      <c r="H50" s="34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35">
      <c r="A51" s="29"/>
      <c r="B51" s="34"/>
      <c r="C51" s="29"/>
      <c r="D51" s="29"/>
      <c r="E51" s="29"/>
      <c r="F51" s="29"/>
      <c r="G51" s="34"/>
      <c r="H51" s="34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35">
      <c r="A52" s="29"/>
      <c r="B52" s="34"/>
      <c r="C52" s="29"/>
      <c r="D52" s="29"/>
      <c r="E52" s="29"/>
      <c r="F52" s="29"/>
      <c r="G52" s="34"/>
      <c r="H52" s="34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35">
      <c r="A53" s="29"/>
      <c r="B53" s="34"/>
      <c r="C53" s="29"/>
      <c r="D53" s="29"/>
      <c r="E53" s="29"/>
      <c r="F53" s="29"/>
      <c r="G53" s="34"/>
      <c r="H53" s="34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35">
      <c r="A54" s="29"/>
      <c r="B54" s="34"/>
      <c r="C54" s="29"/>
      <c r="D54" s="29"/>
      <c r="E54" s="29"/>
      <c r="F54" s="29"/>
      <c r="G54" s="34"/>
      <c r="H54" s="34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35">
      <c r="A55" s="29"/>
      <c r="B55" s="34"/>
      <c r="C55" s="29"/>
      <c r="D55" s="29"/>
      <c r="E55" s="29"/>
      <c r="F55" s="29"/>
      <c r="G55" s="34"/>
      <c r="H55" s="34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35">
      <c r="A56" s="29"/>
      <c r="B56" s="34"/>
      <c r="C56" s="29"/>
      <c r="D56" s="29"/>
      <c r="E56" s="29"/>
      <c r="F56" s="29"/>
      <c r="G56" s="34"/>
      <c r="H56" s="34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35">
      <c r="A57" s="29"/>
      <c r="B57" s="34"/>
      <c r="C57" s="29"/>
      <c r="D57" s="29"/>
      <c r="E57" s="29"/>
      <c r="F57" s="29"/>
      <c r="G57" s="34"/>
      <c r="H57" s="34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35">
      <c r="A58" s="29"/>
      <c r="B58" s="34"/>
      <c r="C58" s="29"/>
      <c r="D58" s="29"/>
      <c r="E58" s="29"/>
      <c r="F58" s="29"/>
      <c r="G58" s="34"/>
      <c r="H58" s="34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35">
      <c r="A59" s="29"/>
      <c r="B59" s="34"/>
      <c r="C59" s="29"/>
      <c r="D59" s="29"/>
      <c r="E59" s="29"/>
      <c r="F59" s="29"/>
      <c r="G59" s="34"/>
      <c r="H59" s="34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35">
      <c r="A60" s="29"/>
      <c r="B60" s="34"/>
      <c r="C60" s="29"/>
      <c r="D60" s="29"/>
      <c r="E60" s="29"/>
      <c r="F60" s="29"/>
      <c r="G60" s="34"/>
      <c r="H60" s="34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35">
      <c r="A61" s="29"/>
      <c r="B61" s="34"/>
      <c r="C61" s="29"/>
      <c r="D61" s="29"/>
      <c r="E61" s="29"/>
      <c r="F61" s="29"/>
      <c r="G61" s="34"/>
      <c r="H61" s="34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35">
      <c r="A62" s="29"/>
      <c r="B62" s="34"/>
      <c r="C62" s="29"/>
      <c r="D62" s="29"/>
      <c r="E62" s="29"/>
      <c r="F62" s="29"/>
      <c r="G62" s="34"/>
      <c r="H62" s="34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35">
      <c r="A63" s="29"/>
      <c r="B63" s="34"/>
      <c r="C63" s="29"/>
      <c r="D63" s="29"/>
      <c r="E63" s="29"/>
      <c r="F63" s="29"/>
      <c r="G63" s="34"/>
      <c r="H63" s="34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35">
      <c r="A64" s="29"/>
      <c r="B64" s="34"/>
      <c r="C64" s="29"/>
      <c r="D64" s="29"/>
      <c r="E64" s="29"/>
      <c r="F64" s="29"/>
      <c r="G64" s="34"/>
      <c r="H64" s="34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35">
      <c r="A65" s="29"/>
      <c r="B65" s="34"/>
      <c r="C65" s="29"/>
      <c r="D65" s="29"/>
      <c r="E65" s="29"/>
      <c r="F65" s="29"/>
      <c r="G65" s="34"/>
      <c r="H65" s="34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35">
      <c r="A66" s="29"/>
      <c r="B66" s="34"/>
      <c r="C66" s="29"/>
      <c r="D66" s="29"/>
      <c r="E66" s="29"/>
      <c r="F66" s="29"/>
      <c r="G66" s="34"/>
      <c r="H66" s="34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35">
      <c r="A67" s="29"/>
      <c r="B67" s="34"/>
      <c r="C67" s="29"/>
      <c r="D67" s="29"/>
      <c r="E67" s="29"/>
      <c r="F67" s="29"/>
      <c r="G67" s="34"/>
      <c r="H67" s="34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35">
      <c r="A68" s="29"/>
      <c r="B68" s="34"/>
      <c r="C68" s="29"/>
      <c r="D68" s="29"/>
      <c r="E68" s="29"/>
      <c r="F68" s="29"/>
      <c r="G68" s="34"/>
      <c r="H68" s="34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35">
      <c r="A69" s="29"/>
      <c r="B69" s="34"/>
      <c r="C69" s="29"/>
      <c r="D69" s="29"/>
      <c r="E69" s="29"/>
      <c r="F69" s="29"/>
      <c r="G69" s="34"/>
      <c r="H69" s="34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35">
      <c r="A70" s="29"/>
      <c r="B70" s="34"/>
      <c r="C70" s="29"/>
      <c r="D70" s="29"/>
      <c r="E70" s="29"/>
      <c r="F70" s="29"/>
      <c r="G70" s="34"/>
      <c r="H70" s="34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35">
      <c r="A71" s="29"/>
      <c r="B71" s="34"/>
      <c r="C71" s="29"/>
      <c r="D71" s="29"/>
      <c r="E71" s="29"/>
      <c r="F71" s="29"/>
      <c r="G71" s="34"/>
      <c r="H71" s="34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35">
      <c r="A72" s="29"/>
      <c r="B72" s="34"/>
      <c r="C72" s="29"/>
      <c r="D72" s="29"/>
      <c r="E72" s="29"/>
      <c r="F72" s="29"/>
      <c r="G72" s="34"/>
      <c r="H72" s="34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35">
      <c r="A73" s="29"/>
      <c r="B73" s="34"/>
      <c r="C73" s="29"/>
      <c r="D73" s="29"/>
      <c r="E73" s="29"/>
      <c r="F73" s="29"/>
      <c r="G73" s="34"/>
      <c r="H73" s="34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35">
      <c r="A74" s="29"/>
      <c r="B74" s="34"/>
      <c r="C74" s="29"/>
      <c r="D74" s="29"/>
      <c r="E74" s="29"/>
      <c r="F74" s="29"/>
      <c r="G74" s="34"/>
      <c r="H74" s="34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35">
      <c r="A75" s="29"/>
      <c r="B75" s="34"/>
      <c r="C75" s="29"/>
      <c r="D75" s="29"/>
      <c r="E75" s="29"/>
      <c r="F75" s="29"/>
      <c r="G75" s="34"/>
      <c r="H75" s="34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35">
      <c r="A76" s="29"/>
      <c r="B76" s="34"/>
      <c r="C76" s="29"/>
      <c r="D76" s="29"/>
      <c r="E76" s="29"/>
      <c r="F76" s="29"/>
      <c r="G76" s="34"/>
      <c r="H76" s="34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35">
      <c r="A77" s="29"/>
      <c r="B77" s="34"/>
      <c r="C77" s="29"/>
      <c r="D77" s="29"/>
      <c r="E77" s="29"/>
      <c r="F77" s="29"/>
      <c r="G77" s="34"/>
      <c r="H77" s="34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35">
      <c r="A78" s="29"/>
      <c r="B78" s="34"/>
      <c r="C78" s="29"/>
      <c r="D78" s="29"/>
      <c r="E78" s="29"/>
      <c r="F78" s="29"/>
      <c r="G78" s="34"/>
      <c r="H78" s="34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35">
      <c r="A79" s="29"/>
      <c r="B79" s="34"/>
      <c r="C79" s="29"/>
      <c r="D79" s="29"/>
      <c r="E79" s="29"/>
      <c r="F79" s="29"/>
      <c r="G79" s="34"/>
      <c r="H79" s="34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35">
      <c r="A80" s="29"/>
      <c r="B80" s="34"/>
      <c r="C80" s="29"/>
      <c r="D80" s="29"/>
      <c r="E80" s="29"/>
      <c r="F80" s="29"/>
      <c r="G80" s="34"/>
      <c r="H80" s="34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35">
      <c r="A81" s="29"/>
      <c r="B81" s="34"/>
      <c r="C81" s="29"/>
      <c r="D81" s="29"/>
      <c r="E81" s="29"/>
      <c r="F81" s="29"/>
      <c r="G81" s="34"/>
      <c r="H81" s="34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35">
      <c r="A82" s="29"/>
      <c r="B82" s="34"/>
      <c r="C82" s="29"/>
      <c r="D82" s="29"/>
      <c r="E82" s="29"/>
      <c r="F82" s="29"/>
      <c r="G82" s="34"/>
      <c r="H82" s="34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35">
      <c r="A83" s="29"/>
      <c r="B83" s="34"/>
      <c r="C83" s="29"/>
      <c r="D83" s="29"/>
      <c r="E83" s="29"/>
      <c r="F83" s="29"/>
      <c r="G83" s="34"/>
      <c r="H83" s="34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35">
      <c r="A84" s="29"/>
      <c r="B84" s="34"/>
      <c r="C84" s="29"/>
      <c r="D84" s="29"/>
      <c r="E84" s="29"/>
      <c r="F84" s="29"/>
      <c r="G84" s="34"/>
      <c r="H84" s="34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35">
      <c r="A85" s="29"/>
      <c r="B85" s="34"/>
      <c r="C85" s="29"/>
      <c r="D85" s="29"/>
      <c r="E85" s="29"/>
      <c r="F85" s="29"/>
      <c r="G85" s="34"/>
      <c r="H85" s="34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35">
      <c r="A86" s="29"/>
      <c r="B86" s="34"/>
      <c r="C86" s="29"/>
      <c r="D86" s="29"/>
      <c r="E86" s="29"/>
      <c r="F86" s="29"/>
      <c r="G86" s="34"/>
      <c r="H86" s="34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35">
      <c r="A87" s="29"/>
      <c r="B87" s="34"/>
      <c r="C87" s="29"/>
      <c r="D87" s="29"/>
      <c r="E87" s="29"/>
      <c r="F87" s="29"/>
      <c r="G87" s="34"/>
      <c r="H87" s="34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35">
      <c r="A88" s="29"/>
      <c r="B88" s="34"/>
      <c r="C88" s="29"/>
      <c r="D88" s="29"/>
      <c r="E88" s="29"/>
      <c r="F88" s="29"/>
      <c r="G88" s="34"/>
      <c r="H88" s="34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35">
      <c r="A89" s="29"/>
      <c r="B89" s="34"/>
      <c r="C89" s="29"/>
      <c r="D89" s="29"/>
      <c r="E89" s="29"/>
      <c r="F89" s="29"/>
      <c r="G89" s="34"/>
      <c r="H89" s="34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35">
      <c r="A90" s="29"/>
      <c r="B90" s="34"/>
      <c r="C90" s="29"/>
      <c r="D90" s="29"/>
      <c r="E90" s="29"/>
      <c r="F90" s="29"/>
      <c r="G90" s="34"/>
      <c r="H90" s="34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35">
      <c r="A91" s="29"/>
      <c r="B91" s="34"/>
      <c r="C91" s="29"/>
      <c r="D91" s="29"/>
      <c r="E91" s="29"/>
      <c r="F91" s="29"/>
      <c r="G91" s="34"/>
      <c r="H91" s="34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35">
      <c r="A92" s="29"/>
      <c r="B92" s="34"/>
      <c r="C92" s="29"/>
      <c r="D92" s="29"/>
      <c r="E92" s="29"/>
      <c r="F92" s="29"/>
      <c r="G92" s="34"/>
      <c r="H92" s="34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35">
      <c r="A93" s="29"/>
      <c r="B93" s="34"/>
      <c r="C93" s="29"/>
      <c r="D93" s="29"/>
      <c r="E93" s="29"/>
      <c r="F93" s="29"/>
      <c r="G93" s="34"/>
      <c r="H93" s="34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35">
      <c r="A94" s="29"/>
      <c r="B94" s="34"/>
      <c r="C94" s="29"/>
      <c r="D94" s="29"/>
      <c r="E94" s="29"/>
      <c r="F94" s="29"/>
      <c r="G94" s="34"/>
      <c r="H94" s="34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35">
      <c r="A95" s="29"/>
      <c r="B95" s="34"/>
      <c r="C95" s="29"/>
      <c r="D95" s="29"/>
      <c r="E95" s="29"/>
      <c r="F95" s="29"/>
      <c r="G95" s="34"/>
      <c r="H95" s="34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35">
      <c r="A96" s="29"/>
      <c r="B96" s="34"/>
      <c r="C96" s="29"/>
      <c r="D96" s="29"/>
      <c r="E96" s="29"/>
      <c r="F96" s="29"/>
      <c r="G96" s="34"/>
      <c r="H96" s="34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35">
      <c r="A97" s="29"/>
      <c r="B97" s="34"/>
      <c r="C97" s="29"/>
      <c r="D97" s="29"/>
      <c r="E97" s="29"/>
      <c r="F97" s="29"/>
      <c r="G97" s="34"/>
      <c r="H97" s="34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35">
      <c r="A98" s="29"/>
      <c r="B98" s="34"/>
      <c r="C98" s="29"/>
      <c r="D98" s="29"/>
      <c r="E98" s="29"/>
      <c r="F98" s="29"/>
      <c r="G98" s="34"/>
      <c r="H98" s="34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35">
      <c r="A99" s="29"/>
      <c r="B99" s="34"/>
      <c r="C99" s="29"/>
      <c r="D99" s="29"/>
      <c r="E99" s="29"/>
      <c r="F99" s="29"/>
      <c r="G99" s="34"/>
      <c r="H99" s="34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35">
      <c r="A100" s="29"/>
      <c r="B100" s="34"/>
      <c r="C100" s="29"/>
      <c r="D100" s="29"/>
      <c r="E100" s="29"/>
      <c r="F100" s="29"/>
      <c r="G100" s="34"/>
      <c r="H100" s="34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C6566-05A5-4434-A0D3-E2C1C7DF21D1}">
  <sheetPr codeName="Hoja4"/>
  <dimension ref="A1:Z100"/>
  <sheetViews>
    <sheetView tabSelected="1" workbookViewId="0">
      <selection activeCell="F11" sqref="F11"/>
    </sheetView>
  </sheetViews>
  <sheetFormatPr baseColWidth="10" defaultRowHeight="14.5" x14ac:dyDescent="0.35"/>
  <cols>
    <col min="1" max="1" width="24.453125" bestFit="1" customWidth="1"/>
    <col min="2" max="2" width="16.90625" customWidth="1"/>
    <col min="3" max="3" width="8.54296875" bestFit="1" customWidth="1"/>
    <col min="4" max="4" width="7.90625" bestFit="1" customWidth="1"/>
    <col min="5" max="5" width="8.54296875" bestFit="1" customWidth="1"/>
    <col min="6" max="6" width="7.26953125" bestFit="1" customWidth="1"/>
    <col min="7" max="7" width="10.90625" style="22" customWidth="1"/>
    <col min="8" max="8" width="5.26953125" hidden="1" customWidth="1"/>
    <col min="9" max="9" width="9.90625" hidden="1" customWidth="1"/>
    <col min="10" max="10" width="10.453125" customWidth="1"/>
    <col min="11" max="11" width="10.90625" customWidth="1"/>
    <col min="12" max="12" width="14" customWidth="1"/>
    <col min="13" max="13" width="12.26953125" bestFit="1" customWidth="1"/>
    <col min="14" max="14" width="11" customWidth="1"/>
    <col min="15" max="15" width="10.90625" hidden="1" customWidth="1"/>
    <col min="16" max="16" width="5.6328125" hidden="1" customWidth="1"/>
  </cols>
  <sheetData>
    <row r="1" spans="1:26" ht="34.5" x14ac:dyDescent="0.35">
      <c r="A1" s="36" t="s">
        <v>45</v>
      </c>
      <c r="B1" s="36" t="s">
        <v>46</v>
      </c>
      <c r="C1" s="36" t="s">
        <v>47</v>
      </c>
      <c r="D1" s="36" t="s">
        <v>48</v>
      </c>
      <c r="E1" s="36" t="s">
        <v>49</v>
      </c>
      <c r="F1" s="36" t="s">
        <v>50</v>
      </c>
      <c r="G1" s="36" t="s">
        <v>51</v>
      </c>
      <c r="H1" s="23" t="s">
        <v>52</v>
      </c>
      <c r="I1" s="23" t="s">
        <v>53</v>
      </c>
      <c r="J1" s="23" t="s">
        <v>54</v>
      </c>
      <c r="K1" s="23" t="s">
        <v>55</v>
      </c>
      <c r="L1" s="23" t="s">
        <v>56</v>
      </c>
      <c r="M1" s="23" t="s">
        <v>57</v>
      </c>
      <c r="N1" s="23" t="s">
        <v>58</v>
      </c>
      <c r="O1" s="23" t="s">
        <v>60</v>
      </c>
      <c r="P1" s="23" t="s">
        <v>61</v>
      </c>
      <c r="Q1" s="23" t="s">
        <v>59</v>
      </c>
    </row>
    <row r="2" spans="1:26" s="24" customFormat="1" x14ac:dyDescent="0.35">
      <c r="A2" s="39"/>
      <c r="B2" s="39"/>
      <c r="C2" s="39"/>
      <c r="D2" s="39"/>
      <c r="E2" s="39"/>
      <c r="F2" s="39"/>
      <c r="G2" s="39"/>
      <c r="H2" s="30">
        <f t="shared" ref="H2:H14" si="0">ROUNDDOWN((D2*0.06),0)</f>
        <v>0</v>
      </c>
      <c r="I2" s="30">
        <f t="shared" ref="I2:I14" si="1">ROUNDDOWN((D2*0.1),0)</f>
        <v>0</v>
      </c>
      <c r="J2" s="30">
        <f>ROUNDUP(((H2-F2)/0.94),0)</f>
        <v>0</v>
      </c>
      <c r="K2" s="30">
        <f t="shared" ref="K2:K19" si="2">ROUNDUP(((I2-F2)/0.9),0)</f>
        <v>0</v>
      </c>
      <c r="L2" s="30"/>
      <c r="M2" s="30"/>
      <c r="N2" s="30">
        <f>ROUNDDOWN(M2+L2,0)</f>
        <v>0</v>
      </c>
      <c r="O2" s="30">
        <f t="shared" ref="O2:O14" si="3">D2+L2</f>
        <v>0</v>
      </c>
      <c r="P2" s="30">
        <f t="shared" ref="P2:P14" si="4">F2+L2</f>
        <v>0</v>
      </c>
      <c r="Q2" s="30" t="e">
        <f>ROUNDDOWN(((P2*100)/O2),0)</f>
        <v>#DIV/0!</v>
      </c>
      <c r="R2" s="29"/>
      <c r="S2" s="29"/>
      <c r="T2" s="29"/>
      <c r="U2" s="29"/>
      <c r="V2" s="29"/>
      <c r="W2" s="29"/>
      <c r="X2" s="29"/>
      <c r="Y2" s="29"/>
      <c r="Z2" s="29"/>
    </row>
    <row r="3" spans="1:26" s="24" customFormat="1" x14ac:dyDescent="0.35">
      <c r="A3" s="39"/>
      <c r="B3" s="39"/>
      <c r="C3" s="39"/>
      <c r="D3" s="39"/>
      <c r="E3" s="39"/>
      <c r="F3" s="39"/>
      <c r="G3" s="39"/>
      <c r="H3" s="30">
        <f t="shared" si="0"/>
        <v>0</v>
      </c>
      <c r="I3" s="30">
        <f t="shared" si="1"/>
        <v>0</v>
      </c>
      <c r="J3" s="30">
        <f t="shared" ref="J2:J19" si="5">ROUNDUP(((H3-F3)/0.94),0)</f>
        <v>0</v>
      </c>
      <c r="K3" s="30">
        <f t="shared" si="2"/>
        <v>0</v>
      </c>
      <c r="L3" s="30"/>
      <c r="M3" s="30"/>
      <c r="N3" s="30">
        <f t="shared" ref="N2:N3" si="6">ROUNDDOWN(M3+L3,0)</f>
        <v>0</v>
      </c>
      <c r="O3" s="30">
        <f t="shared" si="3"/>
        <v>0</v>
      </c>
      <c r="P3" s="30">
        <f t="shared" si="4"/>
        <v>0</v>
      </c>
      <c r="Q3" s="30" t="e">
        <f t="shared" ref="Q2:Q19" si="7">ROUNDDOWN(((P3*100)/O3),0)</f>
        <v>#DIV/0!</v>
      </c>
      <c r="R3" s="29"/>
      <c r="S3" s="29"/>
      <c r="T3" s="29"/>
      <c r="U3" s="29"/>
      <c r="V3" s="29"/>
      <c r="W3" s="29"/>
      <c r="X3" s="29"/>
      <c r="Y3" s="29"/>
      <c r="Z3" s="29"/>
    </row>
    <row r="4" spans="1:26" s="24" customFormat="1" x14ac:dyDescent="0.35">
      <c r="A4" s="39"/>
      <c r="B4" s="39"/>
      <c r="C4" s="39"/>
      <c r="D4" s="39"/>
      <c r="E4" s="39"/>
      <c r="F4" s="39"/>
      <c r="G4" s="39"/>
      <c r="H4" s="30">
        <f t="shared" si="0"/>
        <v>0</v>
      </c>
      <c r="I4" s="30">
        <f t="shared" si="1"/>
        <v>0</v>
      </c>
      <c r="J4" s="30">
        <f t="shared" si="5"/>
        <v>0</v>
      </c>
      <c r="K4" s="30">
        <f t="shared" si="2"/>
        <v>0</v>
      </c>
      <c r="L4" s="30"/>
      <c r="M4" s="30"/>
      <c r="N4" s="30">
        <f>ROUNDDOWN(M4+L4,0)</f>
        <v>0</v>
      </c>
      <c r="O4" s="30">
        <f t="shared" si="3"/>
        <v>0</v>
      </c>
      <c r="P4" s="30">
        <f t="shared" si="4"/>
        <v>0</v>
      </c>
      <c r="Q4" s="30" t="e">
        <f t="shared" si="7"/>
        <v>#DIV/0!</v>
      </c>
      <c r="R4" s="29"/>
      <c r="S4" s="29"/>
      <c r="T4" s="29"/>
      <c r="U4" s="29"/>
      <c r="V4" s="29"/>
      <c r="W4" s="29"/>
      <c r="X4" s="29"/>
      <c r="Y4" s="29"/>
      <c r="Z4" s="29"/>
    </row>
    <row r="5" spans="1:26" s="24" customFormat="1" x14ac:dyDescent="0.35">
      <c r="A5" s="39"/>
      <c r="B5" s="39"/>
      <c r="C5" s="39"/>
      <c r="D5" s="39"/>
      <c r="E5" s="39"/>
      <c r="F5" s="39"/>
      <c r="G5" s="39"/>
      <c r="H5" s="30">
        <f t="shared" si="0"/>
        <v>0</v>
      </c>
      <c r="I5" s="30">
        <f t="shared" si="1"/>
        <v>0</v>
      </c>
      <c r="J5" s="30">
        <f t="shared" si="5"/>
        <v>0</v>
      </c>
      <c r="K5" s="30">
        <f t="shared" si="2"/>
        <v>0</v>
      </c>
      <c r="L5" s="30"/>
      <c r="M5" s="30"/>
      <c r="N5" s="30">
        <f>ROUNDDOWN(M5+L5,0)</f>
        <v>0</v>
      </c>
      <c r="O5" s="30">
        <f t="shared" si="3"/>
        <v>0</v>
      </c>
      <c r="P5" s="30">
        <f t="shared" si="4"/>
        <v>0</v>
      </c>
      <c r="Q5" s="30" t="e">
        <f t="shared" si="7"/>
        <v>#DIV/0!</v>
      </c>
      <c r="R5" s="29"/>
      <c r="S5" s="29"/>
      <c r="T5" s="29"/>
      <c r="U5" s="29"/>
      <c r="V5" s="29"/>
      <c r="W5" s="29"/>
      <c r="X5" s="29"/>
      <c r="Y5" s="29"/>
      <c r="Z5" s="29"/>
    </row>
    <row r="6" spans="1:26" s="24" customFormat="1" x14ac:dyDescent="0.35">
      <c r="A6" s="39"/>
      <c r="B6" s="39"/>
      <c r="C6" s="39"/>
      <c r="D6" s="39"/>
      <c r="E6" s="39"/>
      <c r="F6" s="39"/>
      <c r="G6" s="39"/>
      <c r="H6" s="30">
        <f t="shared" si="0"/>
        <v>0</v>
      </c>
      <c r="I6" s="30">
        <f t="shared" si="1"/>
        <v>0</v>
      </c>
      <c r="J6" s="30">
        <f t="shared" si="5"/>
        <v>0</v>
      </c>
      <c r="K6" s="30">
        <f t="shared" si="2"/>
        <v>0</v>
      </c>
      <c r="L6" s="30"/>
      <c r="M6" s="30"/>
      <c r="N6" s="30">
        <f>ROUNDDOWN(M6+L6,0)</f>
        <v>0</v>
      </c>
      <c r="O6" s="30">
        <f t="shared" si="3"/>
        <v>0</v>
      </c>
      <c r="P6" s="30">
        <f t="shared" si="4"/>
        <v>0</v>
      </c>
      <c r="Q6" s="30" t="e">
        <f t="shared" si="7"/>
        <v>#DIV/0!</v>
      </c>
      <c r="R6" s="29"/>
      <c r="S6" s="29"/>
      <c r="T6" s="29"/>
      <c r="U6" s="29"/>
      <c r="V6" s="29"/>
      <c r="W6" s="29"/>
      <c r="X6" s="29"/>
      <c r="Y6" s="29"/>
      <c r="Z6" s="29"/>
    </row>
    <row r="7" spans="1:26" s="24" customFormat="1" x14ac:dyDescent="0.35">
      <c r="A7" s="39"/>
      <c r="B7" s="39"/>
      <c r="C7" s="39"/>
      <c r="D7" s="39"/>
      <c r="E7" s="39"/>
      <c r="F7" s="39"/>
      <c r="G7" s="39"/>
      <c r="H7" s="30">
        <f t="shared" si="0"/>
        <v>0</v>
      </c>
      <c r="I7" s="30">
        <f t="shared" si="1"/>
        <v>0</v>
      </c>
      <c r="J7" s="30">
        <f t="shared" si="5"/>
        <v>0</v>
      </c>
      <c r="K7" s="30">
        <f t="shared" si="2"/>
        <v>0</v>
      </c>
      <c r="L7" s="30"/>
      <c r="M7" s="30"/>
      <c r="N7" s="30">
        <f t="shared" ref="N7:N19" si="8">ROUNDDOWN(M7+L7,0)</f>
        <v>0</v>
      </c>
      <c r="O7" s="30">
        <f t="shared" si="3"/>
        <v>0</v>
      </c>
      <c r="P7" s="30">
        <f t="shared" si="4"/>
        <v>0</v>
      </c>
      <c r="Q7" s="30" t="e">
        <f t="shared" si="7"/>
        <v>#DIV/0!</v>
      </c>
      <c r="R7" s="29"/>
      <c r="S7" s="29"/>
      <c r="T7" s="29"/>
      <c r="U7" s="29"/>
      <c r="V7" s="29"/>
      <c r="W7" s="29"/>
      <c r="X7" s="29"/>
      <c r="Y7" s="29"/>
      <c r="Z7" s="29"/>
    </row>
    <row r="8" spans="1:26" s="24" customFormat="1" x14ac:dyDescent="0.35">
      <c r="A8" s="39"/>
      <c r="B8" s="39"/>
      <c r="C8" s="39"/>
      <c r="D8" s="39"/>
      <c r="E8" s="39"/>
      <c r="F8" s="39"/>
      <c r="G8" s="39"/>
      <c r="H8" s="30">
        <f t="shared" si="0"/>
        <v>0</v>
      </c>
      <c r="I8" s="30">
        <f t="shared" si="1"/>
        <v>0</v>
      </c>
      <c r="J8" s="30">
        <f t="shared" si="5"/>
        <v>0</v>
      </c>
      <c r="K8" s="30">
        <f t="shared" si="2"/>
        <v>0</v>
      </c>
      <c r="L8" s="30"/>
      <c r="M8" s="30"/>
      <c r="N8" s="30">
        <f t="shared" si="8"/>
        <v>0</v>
      </c>
      <c r="O8" s="30">
        <f t="shared" si="3"/>
        <v>0</v>
      </c>
      <c r="P8" s="30">
        <f t="shared" si="4"/>
        <v>0</v>
      </c>
      <c r="Q8" s="30" t="e">
        <f t="shared" si="7"/>
        <v>#DIV/0!</v>
      </c>
      <c r="R8" s="29"/>
      <c r="S8" s="29"/>
      <c r="T8" s="29"/>
      <c r="U8" s="29"/>
      <c r="V8" s="29"/>
      <c r="W8" s="29"/>
      <c r="X8" s="29"/>
      <c r="Y8" s="29"/>
      <c r="Z8" s="29"/>
    </row>
    <row r="9" spans="1:26" s="24" customFormat="1" x14ac:dyDescent="0.35">
      <c r="A9" s="39"/>
      <c r="B9" s="39"/>
      <c r="C9" s="39"/>
      <c r="D9" s="39"/>
      <c r="E9" s="39"/>
      <c r="F9" s="39"/>
      <c r="G9" s="39"/>
      <c r="H9" s="30">
        <f t="shared" si="0"/>
        <v>0</v>
      </c>
      <c r="I9" s="30">
        <f t="shared" si="1"/>
        <v>0</v>
      </c>
      <c r="J9" s="30">
        <f t="shared" si="5"/>
        <v>0</v>
      </c>
      <c r="K9" s="30">
        <f t="shared" si="2"/>
        <v>0</v>
      </c>
      <c r="L9" s="30"/>
      <c r="M9" s="30"/>
      <c r="N9" s="30">
        <f t="shared" si="8"/>
        <v>0</v>
      </c>
      <c r="O9" s="30">
        <f t="shared" si="3"/>
        <v>0</v>
      </c>
      <c r="P9" s="30">
        <f t="shared" si="4"/>
        <v>0</v>
      </c>
      <c r="Q9" s="30" t="e">
        <f t="shared" si="7"/>
        <v>#DIV/0!</v>
      </c>
      <c r="R9" s="29"/>
      <c r="S9" s="29"/>
      <c r="T9" s="29"/>
      <c r="U9" s="29"/>
      <c r="V9" s="29"/>
      <c r="W9" s="29"/>
      <c r="X9" s="29"/>
      <c r="Y9" s="29"/>
      <c r="Z9" s="29"/>
    </row>
    <row r="10" spans="1:26" s="25" customFormat="1" x14ac:dyDescent="0.35">
      <c r="A10" s="39"/>
      <c r="B10" s="39"/>
      <c r="C10" s="39"/>
      <c r="D10" s="39"/>
      <c r="E10" s="39"/>
      <c r="F10" s="39"/>
      <c r="G10" s="39"/>
      <c r="H10" s="30">
        <f t="shared" si="0"/>
        <v>0</v>
      </c>
      <c r="I10" s="30">
        <f t="shared" si="1"/>
        <v>0</v>
      </c>
      <c r="J10" s="30">
        <f t="shared" si="5"/>
        <v>0</v>
      </c>
      <c r="K10" s="30">
        <f t="shared" si="2"/>
        <v>0</v>
      </c>
      <c r="L10" s="30"/>
      <c r="M10" s="30"/>
      <c r="N10" s="30">
        <f t="shared" si="8"/>
        <v>0</v>
      </c>
      <c r="O10" s="30">
        <f t="shared" si="3"/>
        <v>0</v>
      </c>
      <c r="P10" s="30">
        <f t="shared" si="4"/>
        <v>0</v>
      </c>
      <c r="Q10" s="30" t="e">
        <f t="shared" si="7"/>
        <v>#DIV/0!</v>
      </c>
      <c r="R10" s="29"/>
      <c r="S10" s="29"/>
      <c r="T10" s="29"/>
      <c r="U10" s="29"/>
      <c r="V10" s="29"/>
      <c r="W10" s="29"/>
      <c r="X10" s="29"/>
      <c r="Y10" s="29"/>
      <c r="Z10" s="29"/>
    </row>
    <row r="11" spans="1:26" s="24" customFormat="1" x14ac:dyDescent="0.35">
      <c r="A11" s="39"/>
      <c r="B11" s="39"/>
      <c r="C11" s="39"/>
      <c r="D11" s="39"/>
      <c r="E11" s="39"/>
      <c r="F11" s="39"/>
      <c r="G11" s="39"/>
      <c r="H11" s="30">
        <f t="shared" si="0"/>
        <v>0</v>
      </c>
      <c r="I11" s="30">
        <f t="shared" si="1"/>
        <v>0</v>
      </c>
      <c r="J11" s="30">
        <f t="shared" si="5"/>
        <v>0</v>
      </c>
      <c r="K11" s="30">
        <f t="shared" si="2"/>
        <v>0</v>
      </c>
      <c r="L11" s="30"/>
      <c r="M11" s="30"/>
      <c r="N11" s="30">
        <f t="shared" si="8"/>
        <v>0</v>
      </c>
      <c r="O11" s="30">
        <f t="shared" si="3"/>
        <v>0</v>
      </c>
      <c r="P11" s="30">
        <f t="shared" si="4"/>
        <v>0</v>
      </c>
      <c r="Q11" s="30" t="e">
        <f t="shared" si="7"/>
        <v>#DIV/0!</v>
      </c>
      <c r="R11" s="29"/>
      <c r="S11" s="29"/>
      <c r="T11" s="29"/>
      <c r="U11" s="29"/>
      <c r="V11" s="29"/>
      <c r="W11" s="29"/>
      <c r="X11" s="29"/>
      <c r="Y11" s="29"/>
      <c r="Z11" s="29"/>
    </row>
    <row r="12" spans="1:26" s="24" customFormat="1" x14ac:dyDescent="0.35">
      <c r="A12" s="39"/>
      <c r="B12" s="39"/>
      <c r="C12" s="39"/>
      <c r="D12" s="39"/>
      <c r="E12" s="39"/>
      <c r="F12" s="39"/>
      <c r="G12" s="39"/>
      <c r="H12" s="30">
        <f t="shared" si="0"/>
        <v>0</v>
      </c>
      <c r="I12" s="30">
        <f t="shared" si="1"/>
        <v>0</v>
      </c>
      <c r="J12" s="30">
        <f t="shared" si="5"/>
        <v>0</v>
      </c>
      <c r="K12" s="30">
        <f t="shared" si="2"/>
        <v>0</v>
      </c>
      <c r="L12" s="30"/>
      <c r="M12" s="30"/>
      <c r="N12" s="30">
        <f t="shared" si="8"/>
        <v>0</v>
      </c>
      <c r="O12" s="30">
        <f t="shared" si="3"/>
        <v>0</v>
      </c>
      <c r="P12" s="30">
        <f t="shared" si="4"/>
        <v>0</v>
      </c>
      <c r="Q12" s="30" t="e">
        <f t="shared" si="7"/>
        <v>#DIV/0!</v>
      </c>
      <c r="R12" s="29"/>
      <c r="S12" s="29"/>
      <c r="T12" s="29"/>
      <c r="U12" s="29"/>
      <c r="V12" s="29"/>
      <c r="W12" s="29"/>
      <c r="X12" s="29"/>
      <c r="Y12" s="29"/>
      <c r="Z12" s="29"/>
    </row>
    <row r="13" spans="1:26" s="24" customFormat="1" x14ac:dyDescent="0.35">
      <c r="A13" s="37"/>
      <c r="B13" s="37"/>
      <c r="C13" s="37"/>
      <c r="D13" s="37"/>
      <c r="E13" s="37"/>
      <c r="F13" s="37"/>
      <c r="G13" s="37"/>
      <c r="H13" s="29">
        <f t="shared" si="0"/>
        <v>0</v>
      </c>
      <c r="I13" s="29">
        <f t="shared" si="1"/>
        <v>0</v>
      </c>
      <c r="J13" s="38">
        <f t="shared" si="5"/>
        <v>0</v>
      </c>
      <c r="K13" s="30">
        <f t="shared" si="2"/>
        <v>0</v>
      </c>
      <c r="L13" s="30"/>
      <c r="M13" s="30"/>
      <c r="N13" s="30">
        <f t="shared" si="8"/>
        <v>0</v>
      </c>
      <c r="O13" s="30">
        <f t="shared" si="3"/>
        <v>0</v>
      </c>
      <c r="P13" s="30">
        <f t="shared" si="4"/>
        <v>0</v>
      </c>
      <c r="Q13" s="30" t="e">
        <f t="shared" si="7"/>
        <v>#DIV/0!</v>
      </c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35">
      <c r="A14" s="31"/>
      <c r="B14" s="31"/>
      <c r="C14" s="31"/>
      <c r="D14" s="31"/>
      <c r="E14" s="31"/>
      <c r="F14" s="31"/>
      <c r="G14" s="31"/>
      <c r="H14" s="29">
        <f t="shared" si="0"/>
        <v>0</v>
      </c>
      <c r="I14" s="29">
        <f t="shared" si="1"/>
        <v>0</v>
      </c>
      <c r="J14" s="30">
        <f t="shared" si="5"/>
        <v>0</v>
      </c>
      <c r="K14" s="30">
        <f t="shared" si="2"/>
        <v>0</v>
      </c>
      <c r="L14" s="30"/>
      <c r="M14" s="30"/>
      <c r="N14" s="30">
        <f t="shared" si="8"/>
        <v>0</v>
      </c>
      <c r="O14" s="30">
        <f t="shared" si="3"/>
        <v>0</v>
      </c>
      <c r="P14" s="30">
        <f t="shared" si="4"/>
        <v>0</v>
      </c>
      <c r="Q14" s="30" t="e">
        <f t="shared" si="7"/>
        <v>#DIV/0!</v>
      </c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35">
      <c r="A15" s="32"/>
      <c r="B15" s="32"/>
      <c r="C15" s="32"/>
      <c r="D15" s="32"/>
      <c r="E15" s="32"/>
      <c r="F15" s="32"/>
      <c r="G15" s="32"/>
      <c r="H15" s="29"/>
      <c r="I15" s="29"/>
      <c r="J15" s="30">
        <f t="shared" si="5"/>
        <v>0</v>
      </c>
      <c r="K15" s="30">
        <f t="shared" si="2"/>
        <v>0</v>
      </c>
      <c r="L15" s="30"/>
      <c r="M15" s="30"/>
      <c r="N15" s="30">
        <f t="shared" si="8"/>
        <v>0</v>
      </c>
      <c r="O15" s="30"/>
      <c r="P15" s="30"/>
      <c r="Q15" s="30" t="e">
        <f t="shared" si="7"/>
        <v>#DIV/0!</v>
      </c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35">
      <c r="A16" s="30"/>
      <c r="B16" s="30"/>
      <c r="C16" s="30"/>
      <c r="D16" s="30"/>
      <c r="E16" s="30"/>
      <c r="F16" s="30"/>
      <c r="G16" s="33"/>
      <c r="H16" s="29"/>
      <c r="I16" s="29"/>
      <c r="J16" s="30">
        <f t="shared" si="5"/>
        <v>0</v>
      </c>
      <c r="K16" s="30">
        <f t="shared" si="2"/>
        <v>0</v>
      </c>
      <c r="L16" s="30"/>
      <c r="M16" s="30"/>
      <c r="N16" s="30">
        <f t="shared" si="8"/>
        <v>0</v>
      </c>
      <c r="O16" s="30"/>
      <c r="P16" s="30"/>
      <c r="Q16" s="30" t="e">
        <f t="shared" si="7"/>
        <v>#DIV/0!</v>
      </c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35">
      <c r="A17" s="30"/>
      <c r="B17" s="30"/>
      <c r="C17" s="30"/>
      <c r="D17" s="30"/>
      <c r="E17" s="30"/>
      <c r="F17" s="30"/>
      <c r="G17" s="33"/>
      <c r="H17" s="29"/>
      <c r="I17" s="29"/>
      <c r="J17" s="30">
        <f t="shared" si="5"/>
        <v>0</v>
      </c>
      <c r="K17" s="30">
        <f t="shared" si="2"/>
        <v>0</v>
      </c>
      <c r="L17" s="30"/>
      <c r="M17" s="30"/>
      <c r="N17" s="30">
        <f t="shared" si="8"/>
        <v>0</v>
      </c>
      <c r="O17" s="30"/>
      <c r="P17" s="30"/>
      <c r="Q17" s="30" t="e">
        <f t="shared" si="7"/>
        <v>#DIV/0!</v>
      </c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35">
      <c r="A18" s="30"/>
      <c r="B18" s="30"/>
      <c r="C18" s="30"/>
      <c r="D18" s="30"/>
      <c r="E18" s="30"/>
      <c r="F18" s="30"/>
      <c r="G18" s="33"/>
      <c r="H18" s="29"/>
      <c r="I18" s="29"/>
      <c r="J18" s="30">
        <f t="shared" si="5"/>
        <v>0</v>
      </c>
      <c r="K18" s="30">
        <f t="shared" si="2"/>
        <v>0</v>
      </c>
      <c r="L18" s="30"/>
      <c r="M18" s="30"/>
      <c r="N18" s="30">
        <f t="shared" si="8"/>
        <v>0</v>
      </c>
      <c r="O18" s="30"/>
      <c r="P18" s="30"/>
      <c r="Q18" s="30" t="e">
        <f t="shared" si="7"/>
        <v>#DIV/0!</v>
      </c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35">
      <c r="A19" s="30"/>
      <c r="B19" s="30"/>
      <c r="C19" s="30"/>
      <c r="D19" s="30"/>
      <c r="E19" s="30"/>
      <c r="F19" s="30"/>
      <c r="G19" s="33"/>
      <c r="H19" s="29"/>
      <c r="I19" s="29"/>
      <c r="J19" s="30">
        <f t="shared" si="5"/>
        <v>0</v>
      </c>
      <c r="K19" s="30">
        <f t="shared" si="2"/>
        <v>0</v>
      </c>
      <c r="L19" s="30"/>
      <c r="M19" s="30"/>
      <c r="N19" s="30">
        <f t="shared" si="8"/>
        <v>0</v>
      </c>
      <c r="O19" s="29"/>
      <c r="P19" s="29"/>
      <c r="Q19" s="30" t="e">
        <f t="shared" si="7"/>
        <v>#DIV/0!</v>
      </c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35">
      <c r="A20" s="29"/>
      <c r="B20" s="29"/>
      <c r="C20" s="29"/>
      <c r="D20" s="29"/>
      <c r="E20" s="29"/>
      <c r="F20" s="29"/>
      <c r="G20" s="34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35">
      <c r="A21" s="29"/>
      <c r="B21" s="29"/>
      <c r="C21" s="29"/>
      <c r="D21" s="29"/>
      <c r="E21" s="29"/>
      <c r="F21" s="29"/>
      <c r="G21" s="34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35">
      <c r="A22" s="29"/>
      <c r="B22" s="29"/>
      <c r="C22" s="29"/>
      <c r="D22" s="29"/>
      <c r="E22" s="29"/>
      <c r="F22" s="29"/>
      <c r="G22" s="34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35">
      <c r="A23" s="29"/>
      <c r="B23" s="29"/>
      <c r="C23" s="29"/>
      <c r="D23" s="29"/>
      <c r="E23" s="29"/>
      <c r="F23" s="29"/>
      <c r="G23" s="34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35">
      <c r="A24" s="29"/>
      <c r="B24" s="29"/>
      <c r="C24" s="29"/>
      <c r="D24" s="29"/>
      <c r="E24" s="29"/>
      <c r="F24" s="29"/>
      <c r="G24" s="34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35">
      <c r="A25" s="29"/>
      <c r="B25" s="29"/>
      <c r="C25" s="29"/>
      <c r="D25" s="29"/>
      <c r="E25" s="29"/>
      <c r="F25" s="29"/>
      <c r="G25" s="34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35">
      <c r="A26" s="29"/>
      <c r="B26" s="29"/>
      <c r="C26" s="29"/>
      <c r="D26" s="29"/>
      <c r="E26" s="29"/>
      <c r="F26" s="29"/>
      <c r="G26" s="34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5">
      <c r="A27" s="29"/>
      <c r="B27" s="29"/>
      <c r="C27" s="29"/>
      <c r="D27" s="29"/>
      <c r="E27" s="29"/>
      <c r="F27" s="29"/>
      <c r="G27" s="34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35">
      <c r="A28" s="29"/>
      <c r="B28" s="29"/>
      <c r="C28" s="29"/>
      <c r="D28" s="29"/>
      <c r="E28" s="29"/>
      <c r="F28" s="29"/>
      <c r="G28" s="34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35">
      <c r="A29" s="29"/>
      <c r="B29" s="29"/>
      <c r="C29" s="29"/>
      <c r="D29" s="29"/>
      <c r="E29" s="29"/>
      <c r="F29" s="29"/>
      <c r="G29" s="34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35">
      <c r="A30" s="29"/>
      <c r="B30" s="29"/>
      <c r="C30" s="29"/>
      <c r="D30" s="29"/>
      <c r="E30" s="29"/>
      <c r="F30" s="29"/>
      <c r="G30" s="34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35">
      <c r="A31" s="29"/>
      <c r="B31" s="29"/>
      <c r="C31" s="29"/>
      <c r="D31" s="29"/>
      <c r="E31" s="29"/>
      <c r="F31" s="29"/>
      <c r="G31" s="34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35">
      <c r="A32" s="29"/>
      <c r="B32" s="29"/>
      <c r="C32" s="29"/>
      <c r="D32" s="29"/>
      <c r="E32" s="29"/>
      <c r="F32" s="29"/>
      <c r="G32" s="34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35">
      <c r="A33" s="29"/>
      <c r="B33" s="29"/>
      <c r="C33" s="29"/>
      <c r="D33" s="29"/>
      <c r="E33" s="29"/>
      <c r="F33" s="29"/>
      <c r="G33" s="34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35">
      <c r="A34" s="29"/>
      <c r="B34" s="29"/>
      <c r="C34" s="29"/>
      <c r="D34" s="29"/>
      <c r="E34" s="29"/>
      <c r="F34" s="29"/>
      <c r="G34" s="34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35">
      <c r="A35" s="29"/>
      <c r="B35" s="29"/>
      <c r="C35" s="29"/>
      <c r="D35" s="29"/>
      <c r="E35" s="29"/>
      <c r="F35" s="29"/>
      <c r="G35" s="34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35">
      <c r="A36" s="29"/>
      <c r="B36" s="29"/>
      <c r="C36" s="29"/>
      <c r="D36" s="29"/>
      <c r="E36" s="29"/>
      <c r="F36" s="29"/>
      <c r="G36" s="34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35">
      <c r="A37" s="29"/>
      <c r="B37" s="29"/>
      <c r="C37" s="29"/>
      <c r="D37" s="29"/>
      <c r="E37" s="29"/>
      <c r="F37" s="29"/>
      <c r="G37" s="34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35">
      <c r="A38" s="29"/>
      <c r="B38" s="29"/>
      <c r="C38" s="29"/>
      <c r="D38" s="29"/>
      <c r="E38" s="29"/>
      <c r="F38" s="29"/>
      <c r="G38" s="34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35">
      <c r="A39" s="29"/>
      <c r="B39" s="29"/>
      <c r="C39" s="29"/>
      <c r="D39" s="29"/>
      <c r="E39" s="29"/>
      <c r="F39" s="29"/>
      <c r="G39" s="34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35">
      <c r="A40" s="29"/>
      <c r="B40" s="29"/>
      <c r="C40" s="29"/>
      <c r="D40" s="29"/>
      <c r="E40" s="29"/>
      <c r="F40" s="29"/>
      <c r="G40" s="34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35">
      <c r="A41" s="29"/>
      <c r="B41" s="29"/>
      <c r="C41" s="29"/>
      <c r="D41" s="29"/>
      <c r="E41" s="29"/>
      <c r="F41" s="29"/>
      <c r="G41" s="34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35">
      <c r="A42" s="29"/>
      <c r="B42" s="29"/>
      <c r="C42" s="29"/>
      <c r="D42" s="29"/>
      <c r="E42" s="29"/>
      <c r="F42" s="29"/>
      <c r="G42" s="34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35">
      <c r="A43" s="29"/>
      <c r="B43" s="29"/>
      <c r="C43" s="29"/>
      <c r="D43" s="29"/>
      <c r="E43" s="29"/>
      <c r="F43" s="29"/>
      <c r="G43" s="34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35">
      <c r="A44" s="29"/>
      <c r="B44" s="29"/>
      <c r="C44" s="29"/>
      <c r="D44" s="29"/>
      <c r="E44" s="29"/>
      <c r="F44" s="29"/>
      <c r="G44" s="34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35">
      <c r="A45" s="29"/>
      <c r="B45" s="29"/>
      <c r="C45" s="29"/>
      <c r="D45" s="29"/>
      <c r="E45" s="29"/>
      <c r="F45" s="29"/>
      <c r="G45" s="34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35">
      <c r="A46" s="29"/>
      <c r="B46" s="29"/>
      <c r="C46" s="29"/>
      <c r="D46" s="29"/>
      <c r="E46" s="29"/>
      <c r="F46" s="29"/>
      <c r="G46" s="34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35">
      <c r="A47" s="29"/>
      <c r="B47" s="29"/>
      <c r="C47" s="29"/>
      <c r="D47" s="29"/>
      <c r="E47" s="29"/>
      <c r="F47" s="29"/>
      <c r="G47" s="34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35">
      <c r="A48" s="29"/>
      <c r="B48" s="29"/>
      <c r="C48" s="29"/>
      <c r="D48" s="29"/>
      <c r="E48" s="29"/>
      <c r="F48" s="29"/>
      <c r="G48" s="34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35">
      <c r="A49" s="29"/>
      <c r="B49" s="29"/>
      <c r="C49" s="29"/>
      <c r="D49" s="29"/>
      <c r="E49" s="29"/>
      <c r="F49" s="29"/>
      <c r="G49" s="34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35">
      <c r="A50" s="29"/>
      <c r="B50" s="29"/>
      <c r="C50" s="29"/>
      <c r="D50" s="29"/>
      <c r="E50" s="29"/>
      <c r="F50" s="29"/>
      <c r="G50" s="34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35">
      <c r="A51" s="29"/>
      <c r="B51" s="29"/>
      <c r="C51" s="29"/>
      <c r="D51" s="29"/>
      <c r="E51" s="29"/>
      <c r="F51" s="29"/>
      <c r="G51" s="34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35">
      <c r="A52" s="29"/>
      <c r="B52" s="29"/>
      <c r="C52" s="29"/>
      <c r="D52" s="29"/>
      <c r="E52" s="29"/>
      <c r="F52" s="29"/>
      <c r="G52" s="34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35">
      <c r="A53" s="29"/>
      <c r="B53" s="29"/>
      <c r="C53" s="29"/>
      <c r="D53" s="29"/>
      <c r="E53" s="29"/>
      <c r="F53" s="29"/>
      <c r="G53" s="34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35">
      <c r="A54" s="29"/>
      <c r="B54" s="29"/>
      <c r="C54" s="29"/>
      <c r="D54" s="29"/>
      <c r="E54" s="29"/>
      <c r="F54" s="29"/>
      <c r="G54" s="34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35">
      <c r="A55" s="29"/>
      <c r="B55" s="29"/>
      <c r="C55" s="29"/>
      <c r="D55" s="29"/>
      <c r="E55" s="29"/>
      <c r="F55" s="29"/>
      <c r="G55" s="34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35">
      <c r="A56" s="29"/>
      <c r="B56" s="29"/>
      <c r="C56" s="29"/>
      <c r="D56" s="29"/>
      <c r="E56" s="29"/>
      <c r="F56" s="29"/>
      <c r="G56" s="34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35">
      <c r="A57" s="29"/>
      <c r="B57" s="29"/>
      <c r="C57" s="29"/>
      <c r="D57" s="29"/>
      <c r="E57" s="29"/>
      <c r="F57" s="29"/>
      <c r="G57" s="34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35">
      <c r="A58" s="29"/>
      <c r="B58" s="29"/>
      <c r="C58" s="29"/>
      <c r="D58" s="29"/>
      <c r="E58" s="29"/>
      <c r="F58" s="29"/>
      <c r="G58" s="34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35">
      <c r="A59" s="29"/>
      <c r="B59" s="29"/>
      <c r="C59" s="29"/>
      <c r="D59" s="29"/>
      <c r="E59" s="29"/>
      <c r="F59" s="29"/>
      <c r="G59" s="34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35">
      <c r="A60" s="29"/>
      <c r="B60" s="29"/>
      <c r="C60" s="29"/>
      <c r="D60" s="29"/>
      <c r="E60" s="29"/>
      <c r="F60" s="29"/>
      <c r="G60" s="34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35">
      <c r="A61" s="29"/>
      <c r="B61" s="29"/>
      <c r="C61" s="29"/>
      <c r="D61" s="29"/>
      <c r="E61" s="29"/>
      <c r="F61" s="29"/>
      <c r="G61" s="34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35">
      <c r="A62" s="29"/>
      <c r="B62" s="29"/>
      <c r="C62" s="29"/>
      <c r="D62" s="29"/>
      <c r="E62" s="29"/>
      <c r="F62" s="29"/>
      <c r="G62" s="34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35">
      <c r="A63" s="29"/>
      <c r="B63" s="29"/>
      <c r="C63" s="29"/>
      <c r="D63" s="29"/>
      <c r="E63" s="29"/>
      <c r="F63" s="29"/>
      <c r="G63" s="34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35">
      <c r="A64" s="29"/>
      <c r="B64" s="29"/>
      <c r="C64" s="29"/>
      <c r="D64" s="29"/>
      <c r="E64" s="29"/>
      <c r="F64" s="29"/>
      <c r="G64" s="34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35">
      <c r="A65" s="29"/>
      <c r="B65" s="29"/>
      <c r="C65" s="29"/>
      <c r="D65" s="29"/>
      <c r="E65" s="29"/>
      <c r="F65" s="29"/>
      <c r="G65" s="34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35">
      <c r="A66" s="29"/>
      <c r="B66" s="29"/>
      <c r="C66" s="29"/>
      <c r="D66" s="29"/>
      <c r="E66" s="29"/>
      <c r="F66" s="29"/>
      <c r="G66" s="34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35">
      <c r="A67" s="29"/>
      <c r="B67" s="29"/>
      <c r="C67" s="29"/>
      <c r="D67" s="29"/>
      <c r="E67" s="29"/>
      <c r="F67" s="29"/>
      <c r="G67" s="34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35">
      <c r="A68" s="29"/>
      <c r="B68" s="29"/>
      <c r="C68" s="29"/>
      <c r="D68" s="29"/>
      <c r="E68" s="29"/>
      <c r="F68" s="29"/>
      <c r="G68" s="34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35">
      <c r="A69" s="29"/>
      <c r="B69" s="29"/>
      <c r="C69" s="29"/>
      <c r="D69" s="29"/>
      <c r="E69" s="29"/>
      <c r="F69" s="29"/>
      <c r="G69" s="34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35">
      <c r="A70" s="29"/>
      <c r="B70" s="29"/>
      <c r="C70" s="29"/>
      <c r="D70" s="29"/>
      <c r="E70" s="29"/>
      <c r="F70" s="29"/>
      <c r="G70" s="34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35">
      <c r="A71" s="29"/>
      <c r="B71" s="29"/>
      <c r="C71" s="29"/>
      <c r="D71" s="29"/>
      <c r="E71" s="29"/>
      <c r="F71" s="29"/>
      <c r="G71" s="34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35">
      <c r="A72" s="29"/>
      <c r="B72" s="29"/>
      <c r="C72" s="29"/>
      <c r="D72" s="29"/>
      <c r="E72" s="29"/>
      <c r="F72" s="29"/>
      <c r="G72" s="34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35">
      <c r="A73" s="29"/>
      <c r="B73" s="29"/>
      <c r="C73" s="29"/>
      <c r="D73" s="29"/>
      <c r="E73" s="29"/>
      <c r="F73" s="29"/>
      <c r="G73" s="34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35">
      <c r="A74" s="29"/>
      <c r="B74" s="29"/>
      <c r="C74" s="29"/>
      <c r="D74" s="29"/>
      <c r="E74" s="29"/>
      <c r="F74" s="29"/>
      <c r="G74" s="34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35">
      <c r="A75" s="29"/>
      <c r="B75" s="29"/>
      <c r="C75" s="29"/>
      <c r="D75" s="29"/>
      <c r="E75" s="29"/>
      <c r="F75" s="29"/>
      <c r="G75" s="34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35">
      <c r="A76" s="29"/>
      <c r="B76" s="29"/>
      <c r="C76" s="29"/>
      <c r="D76" s="29"/>
      <c r="E76" s="29"/>
      <c r="F76" s="29"/>
      <c r="G76" s="34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35">
      <c r="A77" s="29"/>
      <c r="B77" s="29"/>
      <c r="C77" s="29"/>
      <c r="D77" s="29"/>
      <c r="E77" s="29"/>
      <c r="F77" s="29"/>
      <c r="G77" s="34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35">
      <c r="A78" s="29"/>
      <c r="B78" s="29"/>
      <c r="C78" s="29"/>
      <c r="D78" s="29"/>
      <c r="E78" s="29"/>
      <c r="F78" s="29"/>
      <c r="G78" s="34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35">
      <c r="A79" s="29"/>
      <c r="B79" s="29"/>
      <c r="C79" s="29"/>
      <c r="D79" s="29"/>
      <c r="E79" s="29"/>
      <c r="F79" s="29"/>
      <c r="G79" s="34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35">
      <c r="A80" s="29"/>
      <c r="B80" s="29"/>
      <c r="C80" s="29"/>
      <c r="D80" s="29"/>
      <c r="E80" s="29"/>
      <c r="F80" s="29"/>
      <c r="G80" s="34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35">
      <c r="A81" s="29"/>
      <c r="B81" s="29"/>
      <c r="C81" s="29"/>
      <c r="D81" s="29"/>
      <c r="E81" s="29"/>
      <c r="F81" s="29"/>
      <c r="G81" s="34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35">
      <c r="A82" s="29"/>
      <c r="B82" s="29"/>
      <c r="C82" s="29"/>
      <c r="D82" s="29"/>
      <c r="E82" s="29"/>
      <c r="F82" s="29"/>
      <c r="G82" s="34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35">
      <c r="A83" s="29"/>
      <c r="B83" s="29"/>
      <c r="C83" s="29"/>
      <c r="D83" s="29"/>
      <c r="E83" s="29"/>
      <c r="F83" s="29"/>
      <c r="G83" s="34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35">
      <c r="A84" s="29"/>
      <c r="B84" s="29"/>
      <c r="C84" s="29"/>
      <c r="D84" s="29"/>
      <c r="E84" s="29"/>
      <c r="F84" s="29"/>
      <c r="G84" s="34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35">
      <c r="A85" s="29"/>
      <c r="B85" s="29"/>
      <c r="C85" s="29"/>
      <c r="D85" s="29"/>
      <c r="E85" s="29"/>
      <c r="F85" s="29"/>
      <c r="G85" s="34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35">
      <c r="A86" s="29"/>
      <c r="B86" s="29"/>
      <c r="C86" s="29"/>
      <c r="D86" s="29"/>
      <c r="E86" s="29"/>
      <c r="F86" s="29"/>
      <c r="G86" s="34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35">
      <c r="A87" s="29"/>
      <c r="B87" s="29"/>
      <c r="C87" s="29"/>
      <c r="D87" s="29"/>
      <c r="E87" s="29"/>
      <c r="F87" s="29"/>
      <c r="G87" s="34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35">
      <c r="A88" s="29"/>
      <c r="B88" s="29"/>
      <c r="C88" s="29"/>
      <c r="D88" s="29"/>
      <c r="E88" s="29"/>
      <c r="F88" s="29"/>
      <c r="G88" s="34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35">
      <c r="A89" s="29"/>
      <c r="B89" s="29"/>
      <c r="C89" s="29"/>
      <c r="D89" s="29"/>
      <c r="E89" s="29"/>
      <c r="F89" s="29"/>
      <c r="G89" s="34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35">
      <c r="A90" s="29"/>
      <c r="B90" s="29"/>
      <c r="C90" s="29"/>
      <c r="D90" s="29"/>
      <c r="E90" s="29"/>
      <c r="F90" s="29"/>
      <c r="G90" s="34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35">
      <c r="A91" s="29"/>
      <c r="B91" s="29"/>
      <c r="C91" s="29"/>
      <c r="D91" s="29"/>
      <c r="E91" s="29"/>
      <c r="F91" s="29"/>
      <c r="G91" s="34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35">
      <c r="A92" s="29"/>
      <c r="B92" s="29"/>
      <c r="C92" s="29"/>
      <c r="D92" s="29"/>
      <c r="E92" s="29"/>
      <c r="F92" s="29"/>
      <c r="G92" s="34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35">
      <c r="A93" s="29"/>
      <c r="B93" s="29"/>
      <c r="C93" s="29"/>
      <c r="D93" s="29"/>
      <c r="E93" s="29"/>
      <c r="F93" s="29"/>
      <c r="G93" s="34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35">
      <c r="A94" s="29"/>
      <c r="B94" s="29"/>
      <c r="C94" s="29"/>
      <c r="D94" s="29"/>
      <c r="E94" s="29"/>
      <c r="F94" s="29"/>
      <c r="G94" s="34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35">
      <c r="A95" s="29"/>
      <c r="B95" s="29"/>
      <c r="C95" s="29"/>
      <c r="D95" s="29"/>
      <c r="E95" s="29"/>
      <c r="F95" s="29"/>
      <c r="G95" s="34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35">
      <c r="A96" s="29"/>
      <c r="B96" s="29"/>
      <c r="C96" s="29"/>
      <c r="D96" s="29"/>
      <c r="E96" s="29"/>
      <c r="F96" s="29"/>
      <c r="G96" s="34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35">
      <c r="A97" s="29"/>
      <c r="B97" s="29"/>
      <c r="C97" s="29"/>
      <c r="D97" s="29"/>
      <c r="E97" s="29"/>
      <c r="F97" s="29"/>
      <c r="G97" s="34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35">
      <c r="A98" s="29"/>
      <c r="B98" s="29"/>
      <c r="C98" s="29"/>
      <c r="D98" s="29"/>
      <c r="E98" s="29"/>
      <c r="F98" s="29"/>
      <c r="G98" s="34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35">
      <c r="A99" s="29"/>
      <c r="B99" s="29"/>
      <c r="C99" s="29"/>
      <c r="D99" s="29"/>
      <c r="E99" s="29"/>
      <c r="F99" s="29"/>
      <c r="G99" s="34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35">
      <c r="A100" s="29"/>
      <c r="B100" s="29"/>
      <c r="C100" s="29"/>
      <c r="D100" s="29"/>
      <c r="E100" s="29"/>
      <c r="F100" s="29"/>
      <c r="G100" s="34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</sheetData>
  <autoFilter ref="A1:Z19" xr:uid="{D91C6566-05A5-4434-A0D3-E2C1C7DF21D1}">
    <sortState xmlns:xlrd2="http://schemas.microsoft.com/office/spreadsheetml/2017/richdata2" ref="A2:Z19">
      <sortCondition ref="A1:A19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8F387-EC33-472C-9163-A1A95FE896C7}">
  <sheetPr codeName="Hoja3"/>
  <dimension ref="A1:F24"/>
  <sheetViews>
    <sheetView workbookViewId="0">
      <selection activeCell="E7" sqref="E7"/>
    </sheetView>
  </sheetViews>
  <sheetFormatPr baseColWidth="10" defaultRowHeight="14.5" x14ac:dyDescent="0.35"/>
  <cols>
    <col min="1" max="1" width="23" bestFit="1" customWidth="1"/>
    <col min="2" max="2" width="14.26953125" bestFit="1" customWidth="1"/>
    <col min="3" max="3" width="18.90625" bestFit="1" customWidth="1"/>
    <col min="4" max="4" width="19.453125" bestFit="1" customWidth="1"/>
    <col min="5" max="5" width="28.54296875" bestFit="1" customWidth="1"/>
    <col min="6" max="6" width="11.81640625" bestFit="1" customWidth="1"/>
  </cols>
  <sheetData>
    <row r="1" spans="1:6" x14ac:dyDescent="0.35">
      <c r="A1" s="17" t="s">
        <v>19</v>
      </c>
      <c r="B1" s="5"/>
      <c r="C1" s="5"/>
      <c r="D1" s="6"/>
    </row>
    <row r="2" spans="1:6" x14ac:dyDescent="0.35">
      <c r="A2" s="12"/>
      <c r="B2" s="13" t="s">
        <v>20</v>
      </c>
      <c r="C2" s="14" t="s">
        <v>21</v>
      </c>
      <c r="D2" s="15" t="s">
        <v>22</v>
      </c>
    </row>
    <row r="3" spans="1:6" x14ac:dyDescent="0.35">
      <c r="A3" s="7" t="s">
        <v>24</v>
      </c>
      <c r="D3" s="8">
        <f>C3-B3</f>
        <v>0</v>
      </c>
    </row>
    <row r="4" spans="1:6" x14ac:dyDescent="0.35">
      <c r="A4" s="7" t="s">
        <v>25</v>
      </c>
      <c r="D4" s="8">
        <f>C4-B4</f>
        <v>0</v>
      </c>
    </row>
    <row r="5" spans="1:6" x14ac:dyDescent="0.35">
      <c r="A5" s="7" t="s">
        <v>26</v>
      </c>
      <c r="D5" s="8">
        <f>C5-B5</f>
        <v>0</v>
      </c>
    </row>
    <row r="6" spans="1:6" x14ac:dyDescent="0.35">
      <c r="A6" s="7" t="s">
        <v>27</v>
      </c>
      <c r="D6" s="8">
        <f>C6-B6</f>
        <v>0</v>
      </c>
    </row>
    <row r="7" spans="1:6" x14ac:dyDescent="0.35">
      <c r="A7" s="9" t="s">
        <v>28</v>
      </c>
      <c r="B7" s="10"/>
      <c r="C7" s="10"/>
      <c r="D7" s="11">
        <f>C7-B7</f>
        <v>0</v>
      </c>
    </row>
    <row r="9" spans="1:6" x14ac:dyDescent="0.35">
      <c r="D9" s="16">
        <f>AVERAGE(D3:D7)</f>
        <v>0</v>
      </c>
      <c r="E9" s="15" t="s">
        <v>23</v>
      </c>
    </row>
    <row r="12" spans="1:6" x14ac:dyDescent="0.35">
      <c r="A12" t="s">
        <v>29</v>
      </c>
    </row>
    <row r="13" spans="1:6" ht="15" thickBot="1" x14ac:dyDescent="0.4"/>
    <row r="14" spans="1:6" ht="15" thickBot="1" x14ac:dyDescent="0.4">
      <c r="A14" s="17" t="s">
        <v>30</v>
      </c>
      <c r="B14" s="18"/>
    </row>
    <row r="15" spans="1:6" ht="15" thickBot="1" x14ac:dyDescent="0.4">
      <c r="A15" s="21" t="s">
        <v>44</v>
      </c>
      <c r="B15" s="18"/>
      <c r="C15" s="14" t="s">
        <v>42</v>
      </c>
      <c r="D15" s="18"/>
      <c r="E15" s="15" t="s">
        <v>38</v>
      </c>
      <c r="F15" s="16" t="e">
        <f>(D15*100)/B15</f>
        <v>#DIV/0!</v>
      </c>
    </row>
    <row r="16" spans="1:6" x14ac:dyDescent="0.35">
      <c r="A16" s="16" t="s">
        <v>40</v>
      </c>
      <c r="B16" s="19">
        <f>B15+B14</f>
        <v>0</v>
      </c>
      <c r="C16" s="16" t="s">
        <v>43</v>
      </c>
      <c r="D16" s="19">
        <f>D15+B14</f>
        <v>0</v>
      </c>
      <c r="E16" s="16" t="s">
        <v>39</v>
      </c>
      <c r="F16" s="16" t="e">
        <f>(D16*100)/B16</f>
        <v>#DIV/0!</v>
      </c>
    </row>
    <row r="18" spans="1:6" x14ac:dyDescent="0.35">
      <c r="A18" t="s">
        <v>31</v>
      </c>
    </row>
    <row r="19" spans="1:6" x14ac:dyDescent="0.35">
      <c r="A19" t="s">
        <v>32</v>
      </c>
      <c r="D19">
        <f>D16-D9</f>
        <v>0</v>
      </c>
      <c r="E19" t="s">
        <v>41</v>
      </c>
      <c r="F19" t="e">
        <f>(D19*100)/$B$16</f>
        <v>#DIV/0!</v>
      </c>
    </row>
    <row r="20" spans="1:6" x14ac:dyDescent="0.35">
      <c r="A20" t="s">
        <v>33</v>
      </c>
      <c r="D20">
        <f>D19-D9</f>
        <v>0</v>
      </c>
      <c r="E20" t="s">
        <v>41</v>
      </c>
      <c r="F20" t="e">
        <f t="shared" ref="F20:F24" si="0">(D20*100)/$B$16</f>
        <v>#DIV/0!</v>
      </c>
    </row>
    <row r="21" spans="1:6" x14ac:dyDescent="0.35">
      <c r="A21" t="s">
        <v>34</v>
      </c>
      <c r="D21">
        <f>D20-D9</f>
        <v>0</v>
      </c>
      <c r="E21" t="s">
        <v>41</v>
      </c>
      <c r="F21" t="e">
        <f t="shared" si="0"/>
        <v>#DIV/0!</v>
      </c>
    </row>
    <row r="22" spans="1:6" x14ac:dyDescent="0.35">
      <c r="A22" t="s">
        <v>35</v>
      </c>
      <c r="D22">
        <f>D21-D9</f>
        <v>0</v>
      </c>
      <c r="E22" t="s">
        <v>41</v>
      </c>
      <c r="F22" t="e">
        <f t="shared" si="0"/>
        <v>#DIV/0!</v>
      </c>
    </row>
    <row r="23" spans="1:6" x14ac:dyDescent="0.35">
      <c r="A23" t="s">
        <v>36</v>
      </c>
      <c r="D23">
        <f>D22-D9</f>
        <v>0</v>
      </c>
      <c r="E23" t="s">
        <v>41</v>
      </c>
      <c r="F23" t="e">
        <f t="shared" si="0"/>
        <v>#DIV/0!</v>
      </c>
    </row>
    <row r="24" spans="1:6" x14ac:dyDescent="0.35">
      <c r="A24" t="s">
        <v>37</v>
      </c>
      <c r="D24">
        <f>D23-D9</f>
        <v>0</v>
      </c>
      <c r="E24" t="s">
        <v>41</v>
      </c>
      <c r="F24" t="e">
        <f t="shared" si="0"/>
        <v>#DIV/0!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C1123-11DF-4615-A89E-C1F33BBCB225}">
  <sheetPr codeName="Hoja2"/>
  <dimension ref="A1:I10"/>
  <sheetViews>
    <sheetView workbookViewId="0">
      <selection activeCell="F18" sqref="F18"/>
    </sheetView>
  </sheetViews>
  <sheetFormatPr baseColWidth="10" defaultRowHeight="14.5" x14ac:dyDescent="0.35"/>
  <cols>
    <col min="1" max="1" width="15.90625" bestFit="1" customWidth="1"/>
    <col min="2" max="2" width="19.81640625" bestFit="1" customWidth="1"/>
    <col min="3" max="3" width="11.81640625" bestFit="1" customWidth="1"/>
    <col min="5" max="5" width="16" bestFit="1" customWidth="1"/>
    <col min="6" max="6" width="15.90625" bestFit="1" customWidth="1"/>
    <col min="7" max="7" width="7.26953125" bestFit="1" customWidth="1"/>
    <col min="8" max="8" width="11.1796875" bestFit="1" customWidth="1"/>
    <col min="9" max="9" width="10.453125" bestFit="1" customWidth="1"/>
  </cols>
  <sheetData>
    <row r="1" spans="1:9" x14ac:dyDescent="0.35">
      <c r="A1" t="s">
        <v>8</v>
      </c>
      <c r="B1" t="s">
        <v>9</v>
      </c>
      <c r="C1" t="s">
        <v>2</v>
      </c>
      <c r="E1" s="1" t="s">
        <v>12</v>
      </c>
      <c r="F1" s="1" t="s">
        <v>13</v>
      </c>
      <c r="H1" t="s">
        <v>3</v>
      </c>
      <c r="I1" t="s">
        <v>4</v>
      </c>
    </row>
    <row r="2" spans="1:9" x14ac:dyDescent="0.35">
      <c r="C2" t="e">
        <f>(B2*100)/A2</f>
        <v>#DIV/0!</v>
      </c>
      <c r="E2">
        <f>A2*0.06</f>
        <v>0</v>
      </c>
      <c r="F2">
        <f>A2*0.1</f>
        <v>0</v>
      </c>
      <c r="H2">
        <f>(E2-B2)/0.94</f>
        <v>0</v>
      </c>
      <c r="I2">
        <f>(F2-B2)/0.9</f>
        <v>0</v>
      </c>
    </row>
    <row r="4" spans="1:9" x14ac:dyDescent="0.35">
      <c r="A4" t="s">
        <v>10</v>
      </c>
      <c r="B4" t="s">
        <v>11</v>
      </c>
      <c r="C4" t="s">
        <v>5</v>
      </c>
      <c r="E4" s="20" t="s">
        <v>14</v>
      </c>
    </row>
    <row r="5" spans="1:9" x14ac:dyDescent="0.35">
      <c r="A5">
        <f>A2+E5</f>
        <v>0</v>
      </c>
      <c r="B5">
        <f>B2+E5</f>
        <v>0</v>
      </c>
      <c r="C5" t="e">
        <f>(B5*100)/A5</f>
        <v>#DIV/0!</v>
      </c>
    </row>
    <row r="8" spans="1:9" x14ac:dyDescent="0.35">
      <c r="A8" t="s">
        <v>6</v>
      </c>
      <c r="B8" t="s">
        <v>7</v>
      </c>
    </row>
    <row r="9" spans="1:9" x14ac:dyDescent="0.35">
      <c r="B9">
        <f>A9+E5</f>
        <v>0</v>
      </c>
    </row>
    <row r="10" spans="1:9" x14ac:dyDescent="0.35">
      <c r="F10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CAAA6-74B4-415F-8310-0899718E3BF5}">
  <sheetPr codeName="Hoja1"/>
  <dimension ref="A1:E5"/>
  <sheetViews>
    <sheetView workbookViewId="0">
      <selection activeCell="G15" sqref="G15"/>
    </sheetView>
  </sheetViews>
  <sheetFormatPr baseColWidth="10" defaultRowHeight="14.5" x14ac:dyDescent="0.35"/>
  <cols>
    <col min="1" max="1" width="12.6328125" style="2" customWidth="1"/>
    <col min="2" max="2" width="11.90625" style="2" bestFit="1" customWidth="1"/>
    <col min="3" max="3" width="10.90625" style="2"/>
    <col min="4" max="4" width="12.1796875" style="2" customWidth="1"/>
    <col min="5" max="5" width="19.7265625" style="2" bestFit="1" customWidth="1"/>
    <col min="6" max="16384" width="10.90625" style="2"/>
  </cols>
  <sheetData>
    <row r="1" spans="1:5" x14ac:dyDescent="0.35">
      <c r="A1" s="2" t="s">
        <v>0</v>
      </c>
      <c r="B1" s="3" t="s">
        <v>17</v>
      </c>
      <c r="D1" s="2" t="s">
        <v>1</v>
      </c>
      <c r="E1" s="2" t="s">
        <v>15</v>
      </c>
    </row>
    <row r="2" spans="1:5" x14ac:dyDescent="0.35">
      <c r="A2">
        <v>921597</v>
      </c>
      <c r="B2" s="2">
        <f>A2*0.1</f>
        <v>92159.700000000012</v>
      </c>
      <c r="D2">
        <v>410767</v>
      </c>
      <c r="E2" s="2">
        <f>D2-B2</f>
        <v>318607.3</v>
      </c>
    </row>
    <row r="4" spans="1:5" x14ac:dyDescent="0.35">
      <c r="B4" s="3" t="s">
        <v>18</v>
      </c>
      <c r="E4" s="2" t="s">
        <v>16</v>
      </c>
    </row>
    <row r="5" spans="1:5" x14ac:dyDescent="0.35">
      <c r="B5" s="2">
        <f>A2*0.05</f>
        <v>46079.850000000006</v>
      </c>
      <c r="E5" s="2">
        <f>D2-B5</f>
        <v>364687.15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3048dc87-43f0-4100-9acb-ae1971c79395}" enabled="0" method="" siteId="{3048dc87-43f0-4100-9acb-ae1971c793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Usable en disco</vt:lpstr>
      <vt:lpstr>Lista de bases</vt:lpstr>
      <vt:lpstr>Solicitud de disco</vt:lpstr>
      <vt:lpstr>Nuevo % libre (old)</vt:lpstr>
      <vt:lpstr>Usable en disco (old)</vt:lpstr>
    </vt:vector>
  </TitlesOfParts>
  <Company>NTT Data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Hammer Alfredo Santamaria Arce</dc:creator>
  <cp:lastModifiedBy>Hammer Alfredo Santamaria Arce</cp:lastModifiedBy>
  <dcterms:created xsi:type="dcterms:W3CDTF">2025-04-26T17:34:47Z</dcterms:created>
  <dcterms:modified xsi:type="dcterms:W3CDTF">2026-03-18T23:10:36Z</dcterms:modified>
</cp:coreProperties>
</file>